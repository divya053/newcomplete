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KIO\Downloads\New\Preckon-system\deliverables\"/>
    </mc:Choice>
  </mc:AlternateContent>
  <xr:revisionPtr revIDLastSave="0" documentId="13_ncr:1_{5F284839-A7DB-47C4-A4A7-7B75EA694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me" sheetId="1" r:id="rId1"/>
    <sheet name="Summary" sheetId="2" r:id="rId2"/>
    <sheet name="Cost by step" sheetId="3" r:id="rId3"/>
    <sheet name="Latency" sheetId="4" r:id="rId4"/>
    <sheet name="Document size" sheetId="5" r:id="rId5"/>
    <sheet name="Cost by project" sheetId="6" r:id="rId6"/>
    <sheet name="Failures" sheetId="7" r:id="rId7"/>
    <sheet name="Review outcomes" sheetId="8" r:id="rId8"/>
    <sheet name="Drawing index" sheetId="9" r:id="rId9"/>
  </sheets>
  <definedNames>
    <definedName name="_xlnm._FilterDatabase" localSheetId="2" hidden="1">'Cost by step'!$A$4:$L$18</definedName>
    <definedName name="_xlnm._FilterDatabase" localSheetId="3" hidden="1">Latency!$A$4:$H$21</definedName>
  </definedNames>
  <calcPr calcId="0"/>
</workbook>
</file>

<file path=xl/sharedStrings.xml><?xml version="1.0" encoding="utf-8"?>
<sst xmlns="http://schemas.openxmlformats.org/spreadsheetml/2006/main" count="388" uniqueCount="199">
  <si>
    <t>Preckon — AI pipeline telemetry</t>
  </si>
  <si>
    <t>Production tenant database, captured 27 August 2026</t>
  </si>
  <si>
    <t>What this is</t>
  </si>
  <si>
    <t>The seven queries from the "Measuring the Chain" plan, run on the live VPS (/opt/preckon-tenant) and transcribed here without alteration. One sheet per query. Any column that did not come back from the database is marked DERIVED in its header.</t>
  </si>
  <si>
    <t>Three things to read before quoting any number</t>
  </si>
  <si>
    <t>1 · The token and cost figures are placeholders, not measured usage.</t>
  </si>
  <si>
    <t>Every successful call in the ledger records exactly 250 input and 60 output tokens. The 'Document size' sheet makes this unmistakable: a 0.21 MB document and a 33 MB document both average 310 tokens. Real usage cannot be flat across a 160-fold size range. So the $3.36 total is 310 tokens x a fixed rate x call count — arithmetic on a constant, not spend. Do not put it in a budget.</t>
  </si>
  <si>
    <t>2 · Half the calls never reached a model.</t>
  </si>
  <si>
    <t>44 of 88 ledger rows were rejected with boundary_not_permitted — the AI governance boundary refusing to route the request externally. That is the data-classification default (unclassified is treated as confidential, which SaaS mode forbids sending out) behaving exactly as designed. It is not a bug, but it does mean the pipeline you are looking at largely ran without live model calls.</t>
  </si>
  <si>
    <t>3 · Cache hit rate is 0%, across every call.</t>
  </si>
  <si>
    <t>Not one of the 88 calls hit the response cache. This matches the known build state — the response cache and prompt registry are written but not wired. Until they are, there is no caching benefit to measure.</t>
  </si>
  <si>
    <t>Known instrumentation gaps (from the same plan)</t>
  </si>
  <si>
    <t xml:space="preserve">     •  latency_ms is passed into the INSERT but no caller supplies it — every row stores 0. Timing on the 'Latency' sheet comes from ai_job instead, which does work.</t>
  </si>
  <si>
    <t xml:space="preserve">     •  confidence and validation_status are in the table but absent from the INSERT column list, so they cannot be written at all.</t>
  </si>
  <si>
    <t xml:space="preserve">     •  drawing_index artifacts return NULL for entity_count and layer_count — the payload does not carry them. See the 'Drawing index' sheet.</t>
  </si>
  <si>
    <t>Headline numbers</t>
  </si>
  <si>
    <t>Measure</t>
  </si>
  <si>
    <t>Value</t>
  </si>
  <si>
    <t>What it means</t>
  </si>
  <si>
    <t>AI calls logged</t>
  </si>
  <si>
    <t>Across 14 agents and 6 projects.</t>
  </si>
  <si>
    <t>Job runs recorded</t>
  </si>
  <si>
    <t>ai_job rows with both a start and an end.</t>
  </si>
  <si>
    <t>Tokens recorded</t>
  </si>
  <si>
    <t>Placeholder values — see 'Read me' point 1.</t>
  </si>
  <si>
    <t>Recorded cost (USD)</t>
  </si>
  <si>
    <t>Arithmetic on the placeholder tokens. Not real spend.</t>
  </si>
  <si>
    <t>Rejected at the AI boundary</t>
  </si>
  <si>
    <t>boundary_not_permitted — governance working as designed.</t>
  </si>
  <si>
    <t>Worker errors</t>
  </si>
  <si>
    <t>cost.price_lines and procure.build_packages, one each.</t>
  </si>
  <si>
    <t>Cache hits</t>
  </si>
  <si>
    <t>Response cache is not wired yet.</t>
  </si>
  <si>
    <t>Proposals put to a human</t>
  </si>
  <si>
    <t>Across 14 record types.</t>
  </si>
  <si>
    <t>Proposals accepted</t>
  </si>
  <si>
    <t>Confirmed by a named person.</t>
  </si>
  <si>
    <t>Acceptance rate</t>
  </si>
  <si>
    <t>The review queue is where the chain is stalling.</t>
  </si>
  <si>
    <t>The one number a manager should take away</t>
  </si>
  <si>
    <t>1,367 proposals were put in front of a person and 8 were accepted — 0.59%. Whether that is a queue nobody has worked through, or output people are declining to confirm, it is the single biggest thing between this pipeline and a usable bid. Everything upstream of the review queue is producing; nothing downstream of it is moving.</t>
  </si>
  <si>
    <t>Tokens and cost per chain step</t>
  </si>
  <si>
    <t>ai_usage_ledger, grouped by module + task + execution class. Token and cost columns are placeholders — see 'Read me'.</t>
  </si>
  <si>
    <t>Module</t>
  </si>
  <si>
    <t>Task type</t>
  </si>
  <si>
    <t>Execution class</t>
  </si>
  <si>
    <t>Calls</t>
  </si>
  <si>
    <t>In avg</t>
  </si>
  <si>
    <t>Out avg</t>
  </si>
  <si>
    <t>Worst total</t>
  </si>
  <si>
    <t>Tokens total</t>
  </si>
  <si>
    <t>Cost USD</t>
  </si>
  <si>
    <t>Failed</t>
  </si>
  <si>
    <t>Cached</t>
  </si>
  <si>
    <t>Max attempt</t>
  </si>
  <si>
    <t>agent.document</t>
  </si>
  <si>
    <t>document.classify_split</t>
  </si>
  <si>
    <t>external</t>
  </si>
  <si>
    <t>agent.construction_copilot</t>
  </si>
  <si>
    <t>copilot.respond</t>
  </si>
  <si>
    <t>agent.proposal</t>
  </si>
  <si>
    <t>proposal.assemble</t>
  </si>
  <si>
    <t>agent.compliance</t>
  </si>
  <si>
    <t>compliance.check</t>
  </si>
  <si>
    <t>agent.approval_prep</t>
  </si>
  <si>
    <t>approval.prepare</t>
  </si>
  <si>
    <t>agent.boq</t>
  </si>
  <si>
    <t>boq.derive_lines</t>
  </si>
  <si>
    <t>agent.tender</t>
  </si>
  <si>
    <t>tender.extract_summary</t>
  </si>
  <si>
    <t>agent.risk</t>
  </si>
  <si>
    <t>risk.assess</t>
  </si>
  <si>
    <t>agent.schedule</t>
  </si>
  <si>
    <t>schedule.build_programme</t>
  </si>
  <si>
    <t>agent.cost</t>
  </si>
  <si>
    <t>cost.price_lines</t>
  </si>
  <si>
    <t>agent.specification</t>
  </si>
  <si>
    <t>spec.extract_clauses</t>
  </si>
  <si>
    <t>agent.bid_qualification</t>
  </si>
  <si>
    <t>bid.qualify</t>
  </si>
  <si>
    <t>agent.clarification</t>
  </si>
  <si>
    <t>clarification.draft</t>
  </si>
  <si>
    <t>agent.procurement</t>
  </si>
  <si>
    <t>procure.build_packages</t>
  </si>
  <si>
    <t>TOTAL</t>
  </si>
  <si>
    <t>How long each step takes</t>
  </si>
  <si>
    <t>From ai_job, because the ledger's latency column is never written. Queue wait is time spent waiting before the job started.</t>
  </si>
  <si>
    <t>Job type</t>
  </si>
  <si>
    <t>Runs</t>
  </si>
  <si>
    <t>Avg ms</t>
  </si>
  <si>
    <t>Min ms</t>
  </si>
  <si>
    <t>Max ms</t>
  </si>
  <si>
    <t>Queue wait ms</t>
  </si>
  <si>
    <t>Queue wait hrs  (DERIVED)</t>
  </si>
  <si>
    <t>Reading</t>
  </si>
  <si>
    <t>One outlier at 1029 s — worth finding before a customer does.</t>
  </si>
  <si>
    <t>One outlier at 2941 s — worth finding before a customer does.</t>
  </si>
  <si>
    <t>Queue wait dominates: 5.3 h waiting vs 231.0 s running.</t>
  </si>
  <si>
    <t>One outlier at 2176 s — worth finding before a customer does.</t>
  </si>
  <si>
    <t>Queue wait dominates: 37.2 h waiting vs 16.3 s running.</t>
  </si>
  <si>
    <t>Queue wait dominates: 26.4 h waiting vs 8.3 s running.</t>
  </si>
  <si>
    <t>narrative.compose</t>
  </si>
  <si>
    <t>Never actually executed — every run recorded zero duration.</t>
  </si>
  <si>
    <t>drawing.takeoff</t>
  </si>
  <si>
    <t>drawing.index</t>
  </si>
  <si>
    <t>Does document size change the work?</t>
  </si>
  <si>
    <t>Documents joined to their AI jobs, bucketed by file size.</t>
  </si>
  <si>
    <t>Size band</t>
  </si>
  <si>
    <t>Docs</t>
  </si>
  <si>
    <t>Avg MB</t>
  </si>
  <si>
    <t>Avg tokens</t>
  </si>
  <si>
    <t>Note</t>
  </si>
  <si>
    <t>A  &lt; 0.5 MB</t>
  </si>
  <si>
    <t>Identical token count to every other band.</t>
  </si>
  <si>
    <t>B  0.5 – 2 MB</t>
  </si>
  <si>
    <t>C  2 – 8 MB</t>
  </si>
  <si>
    <t>D  8 – 32 MB</t>
  </si>
  <si>
    <t>E  32 MB +</t>
  </si>
  <si>
    <t>This sheet is the proof that the token numbers are placeholders.</t>
  </si>
  <si>
    <t>A 0.21 MB document and a 33 MB document — 160 times larger — both record 310 tokens. Processing time does vary (2.4 s to 10.5 s), so the jobs are real. The token counter is not.</t>
  </si>
  <si>
    <t>Where the calls went</t>
  </si>
  <si>
    <t>Ledger rows joined to projects. Cross-checks against 'Cost by step': same 88 calls, same $3.36.</t>
  </si>
  <si>
    <t>Project</t>
  </si>
  <si>
    <t>AI calls</t>
  </si>
  <si>
    <t>In tokens</t>
  </si>
  <si>
    <t>Out tokens</t>
  </si>
  <si>
    <t>Cache %</t>
  </si>
  <si>
    <t>DV Quaters</t>
  </si>
  <si>
    <t>DV Quaters Demo</t>
  </si>
  <si>
    <t>venkat1</t>
  </si>
  <si>
    <t>Sowbelly Gulch Project</t>
  </si>
  <si>
    <t>venkat02</t>
  </si>
  <si>
    <t>Shruthi2</t>
  </si>
  <si>
    <t>Everything that did not succeed</t>
  </si>
  <si>
    <t>No tokens or cost were consumed by any of these — the rejections happen before the model is called.</t>
  </si>
  <si>
    <t>Outcome</t>
  </si>
  <si>
    <t>Error code</t>
  </si>
  <si>
    <t>Count</t>
  </si>
  <si>
    <t>Wasted cost</t>
  </si>
  <si>
    <t>Wasted tokens</t>
  </si>
  <si>
    <t>What it is</t>
  </si>
  <si>
    <t>rejected</t>
  </si>
  <si>
    <t>boundary_not_permitted</t>
  </si>
  <si>
    <t>Governance refused to route this externally. Unclassified data defaults to confidential, and SaaS mode forbids sending that out.</t>
  </si>
  <si>
    <t>failed</t>
  </si>
  <si>
    <t>worker_error</t>
  </si>
  <si>
    <t>The worker itself errored. These two are worth investigating.</t>
  </si>
  <si>
    <t>44 rejected at the boundary  ·  2 worker errors  ·  46 total</t>
  </si>
  <si>
    <t>Amber rows are the governance boundary doing its job. Red rows are real defects.</t>
  </si>
  <si>
    <t>Agents propose — how much is a human accepting?</t>
  </si>
  <si>
    <t>decision_outcome, by agent and record type.</t>
  </si>
  <si>
    <t>Agent</t>
  </si>
  <si>
    <t>Record type</t>
  </si>
  <si>
    <t>Reviewed</t>
  </si>
  <si>
    <t>Accepted</t>
  </si>
  <si>
    <t>Rejected</t>
  </si>
  <si>
    <t>Accept %</t>
  </si>
  <si>
    <t>Avg confidence</t>
  </si>
  <si>
    <t>boq_line</t>
  </si>
  <si>
    <t>Largest queue in the system — and one acceptance.</t>
  </si>
  <si>
    <t>cost_line</t>
  </si>
  <si>
    <t>Nothing decided either way.</t>
  </si>
  <si>
    <t>agent.drawing</t>
  </si>
  <si>
    <t>drawing_measurement</t>
  </si>
  <si>
    <t>spec_clause</t>
  </si>
  <si>
    <t>schedule_activity</t>
  </si>
  <si>
    <t>risk</t>
  </si>
  <si>
    <t>procurement_package</t>
  </si>
  <si>
    <t>compliance_item</t>
  </si>
  <si>
    <t>tender_summary</t>
  </si>
  <si>
    <t>drawing_index</t>
  </si>
  <si>
    <t>proposal_doc</t>
  </si>
  <si>
    <t>bid_approval</t>
  </si>
  <si>
    <t>bid_decision</t>
  </si>
  <si>
    <t>client_query</t>
  </si>
  <si>
    <t>Nothing has been rejected either.</t>
  </si>
  <si>
    <t>Zero rejections across all 1,367 rows. Combined with 8 acceptances, that says these are proposals sitting unworked in a queue rather than output people are declining. Worth confirming before it is read as a quality signal.</t>
  </si>
  <si>
    <t>Drawing index artifacts</t>
  </si>
  <si>
    <t>The query returned 22 rows across 10 projects. Two sheets per project — A-101 and S-201 — and nothing else.</t>
  </si>
  <si>
    <t>Project ID</t>
  </si>
  <si>
    <t>Sheet</t>
  </si>
  <si>
    <t>Entities</t>
  </si>
  <si>
    <t>Layers</t>
  </si>
  <si>
    <t>019fccd2-85c3-7e2d-949e-d2be9c8cb058</t>
  </si>
  <si>
    <t>A-101</t>
  </si>
  <si>
    <t>NULL</t>
  </si>
  <si>
    <t>entity_count and layer_count are not in the payload.</t>
  </si>
  <si>
    <t>S-201</t>
  </si>
  <si>
    <t>019ff6d7-5406-75c1-8932-ad810f1baa71</t>
  </si>
  <si>
    <t>019ff6ad-24de-79e6-b22c-b684937254cf</t>
  </si>
  <si>
    <t>019ff4aa-fb19-7c49-a2c7-7b220ad1d878</t>
  </si>
  <si>
    <t>019ff21a-9238-7016-a20a-6f442a3b9f92</t>
  </si>
  <si>
    <t>019ff1db-2d55-7a1d-bb0e-20d49b68d293</t>
  </si>
  <si>
    <t>019fb4b4-d56a-7005-a442-9ddfc4ed136f</t>
  </si>
  <si>
    <t>019fccc9-c586-70c6-9caa-8b2aacbdcbdf</t>
  </si>
  <si>
    <t>019fc8e0-4bfb-720f-acfe-24f1e96bfa7d</t>
  </si>
  <si>
    <t>019fb964-d6e8-722f-bd88-7929928bba9a</t>
  </si>
  <si>
    <t>This query answered nothing, and that is the finding.</t>
  </si>
  <si>
    <t>Every drawing_index payload returns NULL for entity_count and layer_count, and every job records zero duration. Either the indexer is not running or it is not writing those fields. Until it does, drawing complexity cannot be measured at 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</si>
</sst>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#,##0.0"/>
    <numFmt numFmtId="166" formatCode="0.0"/>
    <numFmt numFmtId="167" formatCode="0.0%"/>
    <numFmt numFmtId="168" formatCode="0.000"/>
  </numFmts>
  <fonts count="15" x14ac:knownFonts="1">
    <font>
      <sz val="11"/>
      <color theme="1"/>
      <name val="Calibri"/>
      <family val="2"/>
      <scheme val="minor"/>
    </font>
    <font>
      <b/>
      <sz val="16"/>
      <color rgb="FF0F1E26"/>
      <name val="Segoe UI"/>
    </font>
    <font>
      <sz val="11"/>
      <color rgb="FF47616C"/>
      <name val="Segoe UI"/>
    </font>
    <font>
      <b/>
      <sz val="11"/>
      <color rgb="FF0B5E52"/>
      <name val="Segoe UI"/>
    </font>
    <font>
      <sz val="10"/>
      <color rgb="FF47616C"/>
      <name val="Segoe UI"/>
    </font>
    <font>
      <b/>
      <sz val="10.5"/>
      <color rgb="FFA8241D"/>
      <name val="Segoe UI"/>
    </font>
    <font>
      <b/>
      <sz val="10.5"/>
      <color rgb="FF9A5A22"/>
      <name val="Segoe UI"/>
    </font>
    <font>
      <b/>
      <sz val="10"/>
      <color rgb="FFFFFFFF"/>
      <name val="Segoe UI"/>
    </font>
    <font>
      <sz val="10.5"/>
      <color rgb="FF0F1E26"/>
      <name val="Segoe UI"/>
    </font>
    <font>
      <b/>
      <sz val="12"/>
      <color rgb="FF0F1E26"/>
      <name val="Consolas"/>
    </font>
    <font>
      <sz val="10.5"/>
      <color rgb="FF0F1E26"/>
      <name val="Consolas"/>
    </font>
    <font>
      <b/>
      <sz val="10.5"/>
      <color rgb="FF0F1E26"/>
      <name val="Segoe UI"/>
    </font>
    <font>
      <b/>
      <sz val="10.5"/>
      <color rgb="FF0F1E26"/>
      <name val="Consolas"/>
    </font>
    <font>
      <b/>
      <sz val="10.5"/>
      <color rgb="FFA8241D"/>
      <name val="Consolas"/>
    </font>
    <font>
      <sz val="10.5"/>
      <color rgb="FFA8241D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B5E52"/>
      </patternFill>
    </fill>
    <fill>
      <patternFill patternType="solid">
        <fgColor rgb="FFFBF1E7"/>
      </patternFill>
    </fill>
    <fill>
      <patternFill patternType="solid">
        <fgColor rgb="FFFAE9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E6E6"/>
      </bottom>
      <diagonal/>
    </border>
    <border>
      <left/>
      <right/>
      <top style="medium">
        <color rgb="FF0B5E52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3" fontId="9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10" fontId="9" fillId="4" borderId="1" xfId="0" applyNumberFormat="1" applyFont="1" applyFill="1" applyBorder="1" applyAlignment="1">
      <alignment vertical="center"/>
    </xf>
    <xf numFmtId="0" fontId="10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" fontId="8" fillId="0" borderId="1" xfId="0" applyNumberFormat="1" applyFont="1" applyBorder="1"/>
    <xf numFmtId="0" fontId="11" fillId="0" borderId="2" xfId="0" applyFont="1" applyBorder="1"/>
    <xf numFmtId="3" fontId="12" fillId="0" borderId="2" xfId="0" applyNumberFormat="1" applyFont="1" applyBorder="1"/>
    <xf numFmtId="0" fontId="12" fillId="0" borderId="2" xfId="0" applyFont="1" applyBorder="1"/>
    <xf numFmtId="164" fontId="12" fillId="0" borderId="2" xfId="0" applyNumberFormat="1" applyFont="1" applyBorder="1"/>
    <xf numFmtId="1" fontId="12" fillId="0" borderId="2" xfId="0" applyNumberFormat="1" applyFont="1" applyBorder="1"/>
    <xf numFmtId="165" fontId="8" fillId="0" borderId="1" xfId="0" applyNumberFormat="1" applyFont="1" applyBorder="1"/>
    <xf numFmtId="4" fontId="8" fillId="0" borderId="1" xfId="0" applyNumberFormat="1" applyFont="1" applyBorder="1"/>
    <xf numFmtId="3" fontId="13" fillId="4" borderId="1" xfId="0" applyNumberFormat="1" applyFont="1" applyFill="1" applyBorder="1"/>
    <xf numFmtId="0" fontId="4" fillId="0" borderId="1" xfId="0" applyFont="1" applyBorder="1"/>
    <xf numFmtId="166" fontId="8" fillId="0" borderId="1" xfId="0" applyNumberFormat="1" applyFont="1" applyBorder="1"/>
    <xf numFmtId="0" fontId="10" fillId="3" borderId="1" xfId="0" applyFont="1" applyFill="1" applyBorder="1"/>
    <xf numFmtId="1" fontId="8" fillId="3" borderId="1" xfId="0" applyNumberFormat="1" applyFont="1" applyFill="1" applyBorder="1"/>
    <xf numFmtId="0" fontId="10" fillId="4" borderId="1" xfId="0" applyFont="1" applyFill="1" applyBorder="1"/>
    <xf numFmtId="1" fontId="8" fillId="4" borderId="1" xfId="0" applyNumberFormat="1" applyFont="1" applyFill="1" applyBorder="1"/>
    <xf numFmtId="167" fontId="8" fillId="0" borderId="1" xfId="0" applyNumberFormat="1" applyFont="1" applyBorder="1"/>
    <xf numFmtId="168" fontId="8" fillId="0" borderId="1" xfId="0" applyNumberFormat="1" applyFont="1" applyBorder="1"/>
    <xf numFmtId="10" fontId="12" fillId="0" borderId="2" xfId="0" applyNumberFormat="1" applyFont="1" applyBorder="1"/>
    <xf numFmtId="0" fontId="14" fillId="4" borderId="1" xfId="0" applyFont="1" applyFill="1" applyBorder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ont>
        <b/>
        <color rgb="FFA8241D"/>
      </font>
      <fill>
        <patternFill patternType="solid">
          <fgColor rgb="FFFAE9E7"/>
        </patternFill>
      </fill>
    </dxf>
    <dxf>
      <font>
        <b/>
        <color rgb="FFA8241D"/>
      </font>
      <fill>
        <patternFill patternType="solid">
          <fgColor rgb="FFFA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tabSelected="1" workbookViewId="0"/>
  </sheetViews>
  <sheetFormatPr defaultRowHeight="15" x14ac:dyDescent="0.25"/>
  <cols>
    <col min="1" max="1" width="3" customWidth="1"/>
    <col min="2" max="2" width="104" customWidth="1"/>
  </cols>
  <sheetData>
    <row r="2" spans="2:2" ht="25.5" x14ac:dyDescent="0.5">
      <c r="B2" s="1" t="s">
        <v>0</v>
      </c>
    </row>
    <row r="3" spans="2:2" ht="16.5" x14ac:dyDescent="0.3">
      <c r="B3" s="2" t="s">
        <v>1</v>
      </c>
    </row>
    <row r="5" spans="2:2" ht="16.5" x14ac:dyDescent="0.25">
      <c r="B5" s="3" t="s">
        <v>2</v>
      </c>
    </row>
    <row r="6" spans="2:2" ht="42.75" x14ac:dyDescent="0.25">
      <c r="B6" s="4" t="s">
        <v>3</v>
      </c>
    </row>
    <row r="8" spans="2:2" ht="16.5" x14ac:dyDescent="0.25">
      <c r="B8" s="3" t="s">
        <v>4</v>
      </c>
    </row>
    <row r="10" spans="2:2" ht="15.75" x14ac:dyDescent="0.25">
      <c r="B10" s="5" t="s">
        <v>5</v>
      </c>
    </row>
    <row r="11" spans="2:2" ht="57" x14ac:dyDescent="0.25">
      <c r="B11" s="4" t="s">
        <v>6</v>
      </c>
    </row>
    <row r="13" spans="2:2" ht="15.75" x14ac:dyDescent="0.25">
      <c r="B13" s="5" t="s">
        <v>7</v>
      </c>
    </row>
    <row r="14" spans="2:2" ht="57" x14ac:dyDescent="0.25">
      <c r="B14" s="4" t="s">
        <v>8</v>
      </c>
    </row>
    <row r="16" spans="2:2" ht="15.75" x14ac:dyDescent="0.25">
      <c r="B16" s="6" t="s">
        <v>9</v>
      </c>
    </row>
    <row r="17" spans="2:2" ht="28.5" x14ac:dyDescent="0.25">
      <c r="B17" s="4" t="s">
        <v>10</v>
      </c>
    </row>
    <row r="20" spans="2:2" ht="16.5" x14ac:dyDescent="0.25">
      <c r="B20" s="3" t="s">
        <v>11</v>
      </c>
    </row>
    <row r="21" spans="2:2" ht="28.5" x14ac:dyDescent="0.25">
      <c r="B21" s="4" t="s">
        <v>12</v>
      </c>
    </row>
    <row r="22" spans="2:2" ht="28.5" x14ac:dyDescent="0.25">
      <c r="B22" s="4" t="s">
        <v>13</v>
      </c>
    </row>
    <row r="23" spans="2:2" ht="28.5" x14ac:dyDescent="0.25">
      <c r="B23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8C79"/>
    <pageSetUpPr fitToPage="1"/>
  </sheetPr>
  <dimension ref="B2:D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" customWidth="1"/>
    <col min="2" max="2" width="42" customWidth="1"/>
    <col min="3" max="3" width="20" customWidth="1"/>
    <col min="4" max="4" width="62" customWidth="1"/>
  </cols>
  <sheetData>
    <row r="2" spans="2:4" ht="25.5" x14ac:dyDescent="0.5">
      <c r="B2" s="1" t="s">
        <v>15</v>
      </c>
    </row>
    <row r="4" spans="2:4" ht="30" customHeight="1" x14ac:dyDescent="0.25">
      <c r="B4" s="7" t="s">
        <v>16</v>
      </c>
      <c r="C4" s="7" t="s">
        <v>17</v>
      </c>
      <c r="D4" s="7" t="s">
        <v>18</v>
      </c>
    </row>
    <row r="5" spans="2:4" ht="20.100000000000001" customHeight="1" x14ac:dyDescent="0.25">
      <c r="B5" s="8" t="s">
        <v>19</v>
      </c>
      <c r="C5" s="9">
        <v>88</v>
      </c>
      <c r="D5" s="10" t="s">
        <v>20</v>
      </c>
    </row>
    <row r="6" spans="2:4" ht="20.100000000000001" customHeight="1" x14ac:dyDescent="0.25">
      <c r="B6" s="8" t="s">
        <v>21</v>
      </c>
      <c r="C6" s="9">
        <v>228</v>
      </c>
      <c r="D6" s="10" t="s">
        <v>22</v>
      </c>
    </row>
    <row r="7" spans="2:4" ht="20.100000000000001" customHeight="1" x14ac:dyDescent="0.25">
      <c r="B7" s="8" t="s">
        <v>23</v>
      </c>
      <c r="C7" s="9">
        <v>26040</v>
      </c>
      <c r="D7" s="10" t="s">
        <v>24</v>
      </c>
    </row>
    <row r="8" spans="2:4" ht="20.100000000000001" customHeight="1" x14ac:dyDescent="0.25">
      <c r="B8" s="8" t="s">
        <v>25</v>
      </c>
      <c r="C8" s="11">
        <v>3.36</v>
      </c>
      <c r="D8" s="10" t="s">
        <v>26</v>
      </c>
    </row>
    <row r="9" spans="2:4" ht="20.100000000000001" customHeight="1" x14ac:dyDescent="0.25">
      <c r="B9" s="12" t="s">
        <v>27</v>
      </c>
      <c r="C9" s="13">
        <v>44</v>
      </c>
      <c r="D9" s="14" t="s">
        <v>28</v>
      </c>
    </row>
    <row r="10" spans="2:4" ht="20.100000000000001" customHeight="1" x14ac:dyDescent="0.25">
      <c r="B10" s="15" t="s">
        <v>29</v>
      </c>
      <c r="C10" s="16">
        <v>2</v>
      </c>
      <c r="D10" s="17" t="s">
        <v>30</v>
      </c>
    </row>
    <row r="11" spans="2:4" ht="20.100000000000001" customHeight="1" x14ac:dyDescent="0.25">
      <c r="B11" s="12" t="s">
        <v>31</v>
      </c>
      <c r="C11" s="13">
        <v>0</v>
      </c>
      <c r="D11" s="14" t="s">
        <v>32</v>
      </c>
    </row>
    <row r="12" spans="2:4" ht="20.100000000000001" customHeight="1" x14ac:dyDescent="0.25">
      <c r="B12" s="8" t="s">
        <v>33</v>
      </c>
      <c r="C12" s="9">
        <v>1367</v>
      </c>
      <c r="D12" s="10" t="s">
        <v>34</v>
      </c>
    </row>
    <row r="13" spans="2:4" ht="20.100000000000001" customHeight="1" x14ac:dyDescent="0.25">
      <c r="B13" s="8" t="s">
        <v>35</v>
      </c>
      <c r="C13" s="9">
        <v>8</v>
      </c>
      <c r="D13" s="10" t="s">
        <v>36</v>
      </c>
    </row>
    <row r="14" spans="2:4" ht="20.100000000000001" customHeight="1" x14ac:dyDescent="0.25">
      <c r="B14" s="15" t="s">
        <v>37</v>
      </c>
      <c r="C14" s="18">
        <v>5.8999999999999999E-3</v>
      </c>
      <c r="D14" s="17" t="s">
        <v>38</v>
      </c>
    </row>
    <row r="16" spans="2:4" ht="33" x14ac:dyDescent="0.25">
      <c r="B16" s="3" t="s">
        <v>39</v>
      </c>
    </row>
    <row r="17" spans="2:4" x14ac:dyDescent="0.25">
      <c r="B17" s="41" t="s">
        <v>40</v>
      </c>
      <c r="C17" s="42"/>
      <c r="D17" s="42"/>
    </row>
  </sheetData>
  <mergeCells count="1">
    <mergeCell ref="B17:D17"/>
  </mergeCells>
  <pageMargins left="0.75" right="0.75" top="1" bottom="1" header="0.5" footer="0.5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26" customWidth="1"/>
    <col min="3" max="3" width="14" customWidth="1"/>
    <col min="4" max="4" width="8" customWidth="1"/>
    <col min="5" max="6" width="9" customWidth="1"/>
    <col min="7" max="7" width="12" customWidth="1"/>
    <col min="8" max="8" width="13" customWidth="1"/>
    <col min="9" max="9" width="11" customWidth="1"/>
    <col min="10" max="11" width="8" customWidth="1"/>
    <col min="12" max="12" width="11" customWidth="1"/>
  </cols>
  <sheetData>
    <row r="1" spans="1:12" ht="21.95" customHeight="1" x14ac:dyDescent="0.5">
      <c r="A1" s="1" t="s">
        <v>41</v>
      </c>
    </row>
    <row r="2" spans="1:12" ht="16.5" x14ac:dyDescent="0.3">
      <c r="A2" s="2" t="s">
        <v>42</v>
      </c>
    </row>
    <row r="4" spans="1:12" ht="30" customHeight="1" x14ac:dyDescent="0.25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52</v>
      </c>
      <c r="K4" s="7" t="s">
        <v>53</v>
      </c>
      <c r="L4" s="7" t="s">
        <v>54</v>
      </c>
    </row>
    <row r="5" spans="1:12" ht="15.75" x14ac:dyDescent="0.3">
      <c r="A5" s="19" t="s">
        <v>55</v>
      </c>
      <c r="B5" s="19" t="s">
        <v>56</v>
      </c>
      <c r="C5" s="19" t="s">
        <v>57</v>
      </c>
      <c r="D5" s="20">
        <v>30</v>
      </c>
      <c r="E5" s="20">
        <v>250</v>
      </c>
      <c r="F5" s="20">
        <v>60</v>
      </c>
      <c r="G5" s="20">
        <v>620</v>
      </c>
      <c r="H5" s="20">
        <v>9300</v>
      </c>
      <c r="I5" s="21">
        <v>1.2</v>
      </c>
      <c r="J5" s="22">
        <v>0</v>
      </c>
      <c r="K5" s="22">
        <v>0</v>
      </c>
      <c r="L5" s="22">
        <v>1</v>
      </c>
    </row>
    <row r="6" spans="1:12" ht="15.75" x14ac:dyDescent="0.3">
      <c r="A6" s="19" t="s">
        <v>58</v>
      </c>
      <c r="B6" s="19" t="s">
        <v>59</v>
      </c>
      <c r="C6" s="19" t="s">
        <v>57</v>
      </c>
      <c r="D6" s="20">
        <v>10</v>
      </c>
      <c r="E6" s="20">
        <v>250</v>
      </c>
      <c r="F6" s="20">
        <v>60</v>
      </c>
      <c r="G6" s="20">
        <v>620</v>
      </c>
      <c r="H6" s="20">
        <v>3100</v>
      </c>
      <c r="I6" s="21">
        <v>0.4</v>
      </c>
      <c r="J6" s="22">
        <v>0</v>
      </c>
      <c r="K6" s="22">
        <v>0</v>
      </c>
      <c r="L6" s="22">
        <v>1</v>
      </c>
    </row>
    <row r="7" spans="1:12" ht="15.75" x14ac:dyDescent="0.3">
      <c r="A7" s="19" t="s">
        <v>60</v>
      </c>
      <c r="B7" s="19" t="s">
        <v>61</v>
      </c>
      <c r="C7" s="19" t="s">
        <v>57</v>
      </c>
      <c r="D7" s="20">
        <v>6</v>
      </c>
      <c r="E7" s="20">
        <v>250</v>
      </c>
      <c r="F7" s="20">
        <v>60</v>
      </c>
      <c r="G7" s="20">
        <v>620</v>
      </c>
      <c r="H7" s="20">
        <v>1860</v>
      </c>
      <c r="I7" s="21">
        <v>0.24</v>
      </c>
      <c r="J7" s="22">
        <v>0</v>
      </c>
      <c r="K7" s="22">
        <v>0</v>
      </c>
      <c r="L7" s="22">
        <v>1</v>
      </c>
    </row>
    <row r="8" spans="1:12" ht="15.75" x14ac:dyDescent="0.3">
      <c r="A8" s="19" t="s">
        <v>62</v>
      </c>
      <c r="B8" s="19" t="s">
        <v>63</v>
      </c>
      <c r="C8" s="19" t="s">
        <v>57</v>
      </c>
      <c r="D8" s="20">
        <v>6</v>
      </c>
      <c r="E8" s="20">
        <v>250</v>
      </c>
      <c r="F8" s="20">
        <v>60</v>
      </c>
      <c r="G8" s="20">
        <v>620</v>
      </c>
      <c r="H8" s="20">
        <v>1860</v>
      </c>
      <c r="I8" s="21">
        <v>0.24</v>
      </c>
      <c r="J8" s="22">
        <v>0</v>
      </c>
      <c r="K8" s="22">
        <v>0</v>
      </c>
      <c r="L8" s="22">
        <v>1</v>
      </c>
    </row>
    <row r="9" spans="1:12" ht="15.75" x14ac:dyDescent="0.3">
      <c r="A9" s="19" t="s">
        <v>64</v>
      </c>
      <c r="B9" s="19" t="s">
        <v>65</v>
      </c>
      <c r="C9" s="19" t="s">
        <v>57</v>
      </c>
      <c r="D9" s="20">
        <v>6</v>
      </c>
      <c r="E9" s="20">
        <v>250</v>
      </c>
      <c r="F9" s="20">
        <v>60</v>
      </c>
      <c r="G9" s="20">
        <v>620</v>
      </c>
      <c r="H9" s="20">
        <v>1860</v>
      </c>
      <c r="I9" s="21">
        <v>0.24</v>
      </c>
      <c r="J9" s="22">
        <v>0</v>
      </c>
      <c r="K9" s="22">
        <v>0</v>
      </c>
      <c r="L9" s="22">
        <v>1</v>
      </c>
    </row>
    <row r="10" spans="1:12" ht="15.75" x14ac:dyDescent="0.3">
      <c r="A10" s="19" t="s">
        <v>66</v>
      </c>
      <c r="B10" s="19" t="s">
        <v>67</v>
      </c>
      <c r="C10" s="19" t="s">
        <v>57</v>
      </c>
      <c r="D10" s="20">
        <v>6</v>
      </c>
      <c r="E10" s="20">
        <v>250</v>
      </c>
      <c r="F10" s="20">
        <v>60</v>
      </c>
      <c r="G10" s="20">
        <v>620</v>
      </c>
      <c r="H10" s="20">
        <v>1860</v>
      </c>
      <c r="I10" s="21">
        <v>0.24</v>
      </c>
      <c r="J10" s="22">
        <v>0</v>
      </c>
      <c r="K10" s="22">
        <v>0</v>
      </c>
      <c r="L10" s="22">
        <v>1</v>
      </c>
    </row>
    <row r="11" spans="1:12" ht="15.75" x14ac:dyDescent="0.3">
      <c r="A11" s="19" t="s">
        <v>68</v>
      </c>
      <c r="B11" s="19" t="s">
        <v>69</v>
      </c>
      <c r="C11" s="19" t="s">
        <v>57</v>
      </c>
      <c r="D11" s="20">
        <v>6</v>
      </c>
      <c r="E11" s="20">
        <v>250</v>
      </c>
      <c r="F11" s="20">
        <v>60</v>
      </c>
      <c r="G11" s="20">
        <v>620</v>
      </c>
      <c r="H11" s="20">
        <v>1860</v>
      </c>
      <c r="I11" s="21">
        <v>0.24</v>
      </c>
      <c r="J11" s="22">
        <v>0</v>
      </c>
      <c r="K11" s="22">
        <v>0</v>
      </c>
      <c r="L11" s="22">
        <v>1</v>
      </c>
    </row>
    <row r="12" spans="1:12" ht="15.75" x14ac:dyDescent="0.3">
      <c r="A12" s="19" t="s">
        <v>70</v>
      </c>
      <c r="B12" s="19" t="s">
        <v>71</v>
      </c>
      <c r="C12" s="19" t="s">
        <v>57</v>
      </c>
      <c r="D12" s="20">
        <v>4</v>
      </c>
      <c r="E12" s="20">
        <v>250</v>
      </c>
      <c r="F12" s="20">
        <v>60</v>
      </c>
      <c r="G12" s="20">
        <v>620</v>
      </c>
      <c r="H12" s="20">
        <v>1240</v>
      </c>
      <c r="I12" s="21">
        <v>0.16</v>
      </c>
      <c r="J12" s="22">
        <v>0</v>
      </c>
      <c r="K12" s="22">
        <v>0</v>
      </c>
      <c r="L12" s="22">
        <v>1</v>
      </c>
    </row>
    <row r="13" spans="1:12" ht="15.75" x14ac:dyDescent="0.3">
      <c r="A13" s="19" t="s">
        <v>72</v>
      </c>
      <c r="B13" s="19" t="s">
        <v>73</v>
      </c>
      <c r="C13" s="19" t="s">
        <v>57</v>
      </c>
      <c r="D13" s="20">
        <v>2</v>
      </c>
      <c r="E13" s="20">
        <v>250</v>
      </c>
      <c r="F13" s="20">
        <v>60</v>
      </c>
      <c r="G13" s="20">
        <v>620</v>
      </c>
      <c r="H13" s="20">
        <v>620</v>
      </c>
      <c r="I13" s="21">
        <v>0.08</v>
      </c>
      <c r="J13" s="22">
        <v>0</v>
      </c>
      <c r="K13" s="22">
        <v>0</v>
      </c>
      <c r="L13" s="22">
        <v>1</v>
      </c>
    </row>
    <row r="14" spans="1:12" ht="15.75" x14ac:dyDescent="0.3">
      <c r="A14" s="19" t="s">
        <v>74</v>
      </c>
      <c r="B14" s="19" t="s">
        <v>75</v>
      </c>
      <c r="C14" s="19" t="s">
        <v>57</v>
      </c>
      <c r="D14" s="20">
        <v>4</v>
      </c>
      <c r="E14" s="20">
        <v>125</v>
      </c>
      <c r="F14" s="20">
        <v>30</v>
      </c>
      <c r="G14" s="20">
        <v>620</v>
      </c>
      <c r="H14" s="20">
        <v>620</v>
      </c>
      <c r="I14" s="21">
        <v>0.08</v>
      </c>
      <c r="J14" s="22">
        <v>1</v>
      </c>
      <c r="K14" s="22">
        <v>0</v>
      </c>
      <c r="L14" s="22">
        <v>1</v>
      </c>
    </row>
    <row r="15" spans="1:12" ht="15.75" x14ac:dyDescent="0.3">
      <c r="A15" s="19" t="s">
        <v>76</v>
      </c>
      <c r="B15" s="19" t="s">
        <v>77</v>
      </c>
      <c r="C15" s="19" t="s">
        <v>57</v>
      </c>
      <c r="D15" s="20">
        <v>2</v>
      </c>
      <c r="E15" s="20">
        <v>250</v>
      </c>
      <c r="F15" s="20">
        <v>60</v>
      </c>
      <c r="G15" s="20">
        <v>620</v>
      </c>
      <c r="H15" s="20">
        <v>620</v>
      </c>
      <c r="I15" s="21">
        <v>0.08</v>
      </c>
      <c r="J15" s="22">
        <v>0</v>
      </c>
      <c r="K15" s="22">
        <v>0</v>
      </c>
      <c r="L15" s="22">
        <v>1</v>
      </c>
    </row>
    <row r="16" spans="1:12" ht="15.75" x14ac:dyDescent="0.3">
      <c r="A16" s="19" t="s">
        <v>78</v>
      </c>
      <c r="B16" s="19" t="s">
        <v>79</v>
      </c>
      <c r="C16" s="19" t="s">
        <v>57</v>
      </c>
      <c r="D16" s="20">
        <v>2</v>
      </c>
      <c r="E16" s="20">
        <v>250</v>
      </c>
      <c r="F16" s="20">
        <v>60</v>
      </c>
      <c r="G16" s="20">
        <v>620</v>
      </c>
      <c r="H16" s="20">
        <v>620</v>
      </c>
      <c r="I16" s="21">
        <v>0.08</v>
      </c>
      <c r="J16" s="22">
        <v>0</v>
      </c>
      <c r="K16" s="22">
        <v>0</v>
      </c>
      <c r="L16" s="22">
        <v>1</v>
      </c>
    </row>
    <row r="17" spans="1:12" ht="15.75" x14ac:dyDescent="0.3">
      <c r="A17" s="19" t="s">
        <v>80</v>
      </c>
      <c r="B17" s="19" t="s">
        <v>81</v>
      </c>
      <c r="C17" s="19" t="s">
        <v>57</v>
      </c>
      <c r="D17" s="20">
        <v>2</v>
      </c>
      <c r="E17" s="20">
        <v>250</v>
      </c>
      <c r="F17" s="20">
        <v>60</v>
      </c>
      <c r="G17" s="20">
        <v>620</v>
      </c>
      <c r="H17" s="20">
        <v>620</v>
      </c>
      <c r="I17" s="21">
        <v>0.08</v>
      </c>
      <c r="J17" s="22">
        <v>0</v>
      </c>
      <c r="K17" s="22">
        <v>0</v>
      </c>
      <c r="L17" s="22">
        <v>1</v>
      </c>
    </row>
    <row r="18" spans="1:12" ht="15.75" x14ac:dyDescent="0.3">
      <c r="A18" s="19" t="s">
        <v>82</v>
      </c>
      <c r="B18" s="19" t="s">
        <v>83</v>
      </c>
      <c r="C18" s="19" t="s">
        <v>57</v>
      </c>
      <c r="D18" s="20">
        <v>2</v>
      </c>
      <c r="E18" s="20">
        <v>0</v>
      </c>
      <c r="F18" s="20">
        <v>0</v>
      </c>
      <c r="G18" s="20">
        <v>0</v>
      </c>
      <c r="H18" s="20">
        <v>0</v>
      </c>
      <c r="I18" s="21">
        <v>0</v>
      </c>
      <c r="J18" s="22">
        <v>1</v>
      </c>
      <c r="K18" s="22">
        <v>0</v>
      </c>
      <c r="L18" s="22">
        <v>1</v>
      </c>
    </row>
    <row r="19" spans="1:12" ht="15.75" x14ac:dyDescent="0.3">
      <c r="A19" s="23" t="s">
        <v>84</v>
      </c>
      <c r="B19" s="23"/>
      <c r="C19" s="23"/>
      <c r="D19" s="24">
        <v>88</v>
      </c>
      <c r="E19" s="25"/>
      <c r="F19" s="25"/>
      <c r="G19" s="25"/>
      <c r="H19" s="24">
        <v>26040</v>
      </c>
      <c r="I19" s="26">
        <v>3.36</v>
      </c>
      <c r="J19" s="27">
        <v>2</v>
      </c>
      <c r="K19" s="27">
        <v>0</v>
      </c>
      <c r="L19" s="25"/>
    </row>
  </sheetData>
  <autoFilter ref="A4:L18" xr:uid="{00000000-0009-0000-0000-000002000000}"/>
  <conditionalFormatting sqref="H5:H18">
    <cfRule type="dataBar" priority="1">
      <dataBar>
        <cfvo type="num" val="0"/>
        <cfvo type="max"/>
        <color rgb="FF0B8C79"/>
      </dataBar>
    </cfRule>
  </conditionalFormatting>
  <conditionalFormatting sqref="J5:J18">
    <cfRule type="cellIs" dxfId="1" priority="2" operator="greaterThan">
      <formula>0</formula>
    </cfRule>
  </conditionalFormatting>
  <pageMargins left="0.75" right="0.75" top="1" bottom="1" header="0.5" footer="0.5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12" customWidth="1"/>
    <col min="4" max="4" width="10" customWidth="1"/>
    <col min="5" max="5" width="13" customWidth="1"/>
    <col min="6" max="6" width="16" customWidth="1"/>
    <col min="7" max="7" width="15" customWidth="1"/>
    <col min="8" max="8" width="46" customWidth="1"/>
  </cols>
  <sheetData>
    <row r="1" spans="1:8" ht="21.95" customHeight="1" x14ac:dyDescent="0.5">
      <c r="A1" s="1" t="s">
        <v>85</v>
      </c>
    </row>
    <row r="2" spans="1:8" ht="16.5" x14ac:dyDescent="0.3">
      <c r="A2" s="2" t="s">
        <v>86</v>
      </c>
    </row>
    <row r="4" spans="1:8" ht="30" customHeight="1" x14ac:dyDescent="0.25">
      <c r="A4" s="7" t="s">
        <v>87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</row>
    <row r="5" spans="1:8" ht="26.1" customHeight="1" x14ac:dyDescent="0.3">
      <c r="A5" s="19" t="s">
        <v>79</v>
      </c>
      <c r="B5" s="20">
        <v>3</v>
      </c>
      <c r="C5" s="20">
        <v>342955</v>
      </c>
      <c r="D5" s="20">
        <v>0</v>
      </c>
      <c r="E5" s="20">
        <v>1028864</v>
      </c>
      <c r="F5" s="20">
        <v>2842</v>
      </c>
      <c r="G5" s="28">
        <v>0</v>
      </c>
      <c r="H5" s="10" t="s">
        <v>95</v>
      </c>
    </row>
    <row r="6" spans="1:8" ht="26.1" customHeight="1" x14ac:dyDescent="0.3">
      <c r="A6" s="19" t="s">
        <v>75</v>
      </c>
      <c r="B6" s="20">
        <v>11</v>
      </c>
      <c r="C6" s="20">
        <v>273299</v>
      </c>
      <c r="D6" s="20">
        <v>0</v>
      </c>
      <c r="E6" s="20">
        <v>2941119</v>
      </c>
      <c r="F6" s="20">
        <v>15516559</v>
      </c>
      <c r="G6" s="28">
        <v>4.3</v>
      </c>
      <c r="H6" s="10" t="s">
        <v>96</v>
      </c>
    </row>
    <row r="7" spans="1:8" ht="26.1" customHeight="1" x14ac:dyDescent="0.3">
      <c r="A7" s="19" t="s">
        <v>69</v>
      </c>
      <c r="B7" s="20">
        <v>13</v>
      </c>
      <c r="C7" s="20">
        <v>231001</v>
      </c>
      <c r="D7" s="20">
        <v>0</v>
      </c>
      <c r="E7" s="20">
        <v>2941137</v>
      </c>
      <c r="F7" s="20">
        <v>19236561</v>
      </c>
      <c r="G7" s="28">
        <v>5.3</v>
      </c>
      <c r="H7" s="10" t="s">
        <v>97</v>
      </c>
    </row>
    <row r="8" spans="1:8" ht="26.1" customHeight="1" x14ac:dyDescent="0.3">
      <c r="A8" s="19" t="s">
        <v>67</v>
      </c>
      <c r="B8" s="20">
        <v>24</v>
      </c>
      <c r="C8" s="20">
        <v>113132</v>
      </c>
      <c r="D8" s="20">
        <v>0</v>
      </c>
      <c r="E8" s="20">
        <v>2175508</v>
      </c>
      <c r="F8" s="20">
        <v>95643</v>
      </c>
      <c r="G8" s="28">
        <v>0</v>
      </c>
      <c r="H8" s="10" t="s">
        <v>98</v>
      </c>
    </row>
    <row r="9" spans="1:8" ht="26.1" customHeight="1" x14ac:dyDescent="0.3">
      <c r="A9" s="19" t="s">
        <v>73</v>
      </c>
      <c r="B9" s="20">
        <v>14</v>
      </c>
      <c r="C9" s="20">
        <v>16322</v>
      </c>
      <c r="D9" s="20">
        <v>0</v>
      </c>
      <c r="E9" s="20">
        <v>97581</v>
      </c>
      <c r="F9" s="20">
        <v>133944209</v>
      </c>
      <c r="G9" s="28">
        <v>37.200000000000003</v>
      </c>
      <c r="H9" s="10" t="s">
        <v>99</v>
      </c>
    </row>
    <row r="10" spans="1:8" ht="26.1" customHeight="1" x14ac:dyDescent="0.3">
      <c r="A10" s="19" t="s">
        <v>71</v>
      </c>
      <c r="B10" s="20">
        <v>7</v>
      </c>
      <c r="C10" s="20">
        <v>9973</v>
      </c>
      <c r="D10" s="20">
        <v>0</v>
      </c>
      <c r="E10" s="20">
        <v>38715</v>
      </c>
      <c r="F10" s="20">
        <v>10695</v>
      </c>
      <c r="G10" s="28">
        <v>0</v>
      </c>
      <c r="H10" s="10"/>
    </row>
    <row r="11" spans="1:8" ht="26.1" customHeight="1" x14ac:dyDescent="0.3">
      <c r="A11" s="19" t="s">
        <v>81</v>
      </c>
      <c r="B11" s="20">
        <v>4</v>
      </c>
      <c r="C11" s="20">
        <v>9539</v>
      </c>
      <c r="D11" s="20">
        <v>0</v>
      </c>
      <c r="E11" s="20">
        <v>33480</v>
      </c>
      <c r="F11" s="20">
        <v>71</v>
      </c>
      <c r="G11" s="28">
        <v>0</v>
      </c>
      <c r="H11" s="10"/>
    </row>
    <row r="12" spans="1:8" ht="26.1" customHeight="1" x14ac:dyDescent="0.3">
      <c r="A12" s="19" t="s">
        <v>83</v>
      </c>
      <c r="B12" s="20">
        <v>9</v>
      </c>
      <c r="C12" s="20">
        <v>8283</v>
      </c>
      <c r="D12" s="20">
        <v>0</v>
      </c>
      <c r="E12" s="20">
        <v>44482</v>
      </c>
      <c r="F12" s="20">
        <v>94902953</v>
      </c>
      <c r="G12" s="28">
        <v>26.4</v>
      </c>
      <c r="H12" s="10" t="s">
        <v>100</v>
      </c>
    </row>
    <row r="13" spans="1:8" ht="26.1" customHeight="1" x14ac:dyDescent="0.3">
      <c r="A13" s="19" t="s">
        <v>56</v>
      </c>
      <c r="B13" s="20">
        <v>52</v>
      </c>
      <c r="C13" s="20">
        <v>3659</v>
      </c>
      <c r="D13" s="20">
        <v>0</v>
      </c>
      <c r="E13" s="20">
        <v>28223</v>
      </c>
      <c r="F13" s="20">
        <v>5086</v>
      </c>
      <c r="G13" s="28">
        <v>0</v>
      </c>
      <c r="H13" s="10"/>
    </row>
    <row r="14" spans="1:8" ht="26.1" customHeight="1" x14ac:dyDescent="0.3">
      <c r="A14" s="19" t="s">
        <v>59</v>
      </c>
      <c r="B14" s="20">
        <v>19</v>
      </c>
      <c r="C14" s="20">
        <v>3523</v>
      </c>
      <c r="D14" s="20">
        <v>0</v>
      </c>
      <c r="E14" s="20">
        <v>22094</v>
      </c>
      <c r="F14" s="20">
        <v>2007</v>
      </c>
      <c r="G14" s="28">
        <v>0</v>
      </c>
      <c r="H14" s="10"/>
    </row>
    <row r="15" spans="1:8" ht="26.1" customHeight="1" x14ac:dyDescent="0.3">
      <c r="A15" s="19" t="s">
        <v>63</v>
      </c>
      <c r="B15" s="20">
        <v>12</v>
      </c>
      <c r="C15" s="20">
        <v>2223</v>
      </c>
      <c r="D15" s="20">
        <v>0</v>
      </c>
      <c r="E15" s="20">
        <v>19154</v>
      </c>
      <c r="F15" s="20">
        <v>17198495</v>
      </c>
      <c r="G15" s="28">
        <v>4.8</v>
      </c>
      <c r="H15" s="10"/>
    </row>
    <row r="16" spans="1:8" ht="26.1" customHeight="1" x14ac:dyDescent="0.3">
      <c r="A16" s="19" t="s">
        <v>77</v>
      </c>
      <c r="B16" s="20">
        <v>11</v>
      </c>
      <c r="C16" s="20">
        <v>2044</v>
      </c>
      <c r="D16" s="20">
        <v>0</v>
      </c>
      <c r="E16" s="20">
        <v>22481</v>
      </c>
      <c r="F16" s="20">
        <v>19466</v>
      </c>
      <c r="G16" s="28">
        <v>0</v>
      </c>
      <c r="H16" s="10"/>
    </row>
    <row r="17" spans="1:8" ht="26.1" customHeight="1" x14ac:dyDescent="0.3">
      <c r="A17" s="19" t="s">
        <v>65</v>
      </c>
      <c r="B17" s="20">
        <v>12</v>
      </c>
      <c r="C17" s="20">
        <v>2026</v>
      </c>
      <c r="D17" s="20">
        <v>0</v>
      </c>
      <c r="E17" s="20">
        <v>18445</v>
      </c>
      <c r="F17" s="20">
        <v>793</v>
      </c>
      <c r="G17" s="28">
        <v>0</v>
      </c>
      <c r="H17" s="10"/>
    </row>
    <row r="18" spans="1:8" ht="26.1" customHeight="1" x14ac:dyDescent="0.3">
      <c r="A18" s="19" t="s">
        <v>61</v>
      </c>
      <c r="B18" s="20">
        <v>12</v>
      </c>
      <c r="C18" s="20">
        <v>793</v>
      </c>
      <c r="D18" s="20">
        <v>0</v>
      </c>
      <c r="E18" s="20">
        <v>3922</v>
      </c>
      <c r="F18" s="20">
        <v>4428</v>
      </c>
      <c r="G18" s="28">
        <v>0</v>
      </c>
      <c r="H18" s="10"/>
    </row>
    <row r="19" spans="1:8" ht="26.1" customHeight="1" x14ac:dyDescent="0.3">
      <c r="A19" s="19" t="s">
        <v>101</v>
      </c>
      <c r="B19" s="20">
        <v>4</v>
      </c>
      <c r="C19" s="20">
        <v>0</v>
      </c>
      <c r="D19" s="20">
        <v>0</v>
      </c>
      <c r="E19" s="20">
        <v>0</v>
      </c>
      <c r="F19" s="20">
        <v>90313</v>
      </c>
      <c r="G19" s="28">
        <v>0</v>
      </c>
      <c r="H19" s="10" t="s">
        <v>102</v>
      </c>
    </row>
    <row r="20" spans="1:8" ht="26.1" customHeight="1" x14ac:dyDescent="0.3">
      <c r="A20" s="19" t="s">
        <v>103</v>
      </c>
      <c r="B20" s="20">
        <v>10</v>
      </c>
      <c r="C20" s="20">
        <v>0</v>
      </c>
      <c r="D20" s="20">
        <v>0</v>
      </c>
      <c r="E20" s="20">
        <v>0</v>
      </c>
      <c r="F20" s="20">
        <v>10455</v>
      </c>
      <c r="G20" s="28">
        <v>0</v>
      </c>
      <c r="H20" s="10" t="s">
        <v>102</v>
      </c>
    </row>
    <row r="21" spans="1:8" ht="26.1" customHeight="1" x14ac:dyDescent="0.3">
      <c r="A21" s="19" t="s">
        <v>104</v>
      </c>
      <c r="B21" s="20">
        <v>11</v>
      </c>
      <c r="C21" s="20">
        <v>0</v>
      </c>
      <c r="D21" s="20">
        <v>0</v>
      </c>
      <c r="E21" s="20">
        <v>0</v>
      </c>
      <c r="F21" s="20">
        <v>12845</v>
      </c>
      <c r="G21" s="28">
        <v>0</v>
      </c>
      <c r="H21" s="10" t="s">
        <v>102</v>
      </c>
    </row>
  </sheetData>
  <autoFilter ref="A4:H21" xr:uid="{00000000-0009-0000-0000-000003000000}"/>
  <conditionalFormatting sqref="C5:C21">
    <cfRule type="dataBar" priority="2">
      <dataBar>
        <cfvo type="num" val="0"/>
        <cfvo type="max"/>
        <color rgb="FF9A5A22"/>
      </dataBar>
    </cfRule>
  </conditionalFormatting>
  <conditionalFormatting sqref="G5:G21">
    <cfRule type="cellIs" dxfId="0" priority="1" operator="greaterThan">
      <formula>5</formula>
    </cfRule>
  </conditionalFormatting>
  <pageMargins left="0.75" right="0.75" top="1" bottom="1" header="0.5" footer="0.5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0" customWidth="1"/>
    <col min="3" max="4" width="12" customWidth="1"/>
    <col min="5" max="5" width="15" customWidth="1"/>
    <col min="6" max="6" width="60" customWidth="1"/>
  </cols>
  <sheetData>
    <row r="1" spans="1:6" ht="21.95" customHeight="1" x14ac:dyDescent="0.5">
      <c r="A1" s="1" t="s">
        <v>105</v>
      </c>
    </row>
    <row r="2" spans="1:6" ht="16.5" x14ac:dyDescent="0.3">
      <c r="A2" s="2" t="s">
        <v>106</v>
      </c>
    </row>
    <row r="4" spans="1:6" ht="30" customHeight="1" x14ac:dyDescent="0.25">
      <c r="A4" s="7" t="s">
        <v>107</v>
      </c>
      <c r="B4" s="7" t="s">
        <v>108</v>
      </c>
      <c r="C4" s="7" t="s">
        <v>109</v>
      </c>
      <c r="D4" s="7" t="s">
        <v>89</v>
      </c>
      <c r="E4" s="7" t="s">
        <v>110</v>
      </c>
      <c r="F4" s="7" t="s">
        <v>111</v>
      </c>
    </row>
    <row r="5" spans="1:6" ht="15.75" x14ac:dyDescent="0.3">
      <c r="A5" s="19" t="s">
        <v>112</v>
      </c>
      <c r="B5" s="20">
        <v>118</v>
      </c>
      <c r="C5" s="29">
        <v>0.21</v>
      </c>
      <c r="D5" s="20">
        <v>3879</v>
      </c>
      <c r="E5" s="30">
        <v>310</v>
      </c>
      <c r="F5" s="31" t="s">
        <v>113</v>
      </c>
    </row>
    <row r="6" spans="1:6" ht="15.75" x14ac:dyDescent="0.3">
      <c r="A6" s="19" t="s">
        <v>114</v>
      </c>
      <c r="B6" s="20">
        <v>54</v>
      </c>
      <c r="C6" s="29">
        <v>0.8</v>
      </c>
      <c r="D6" s="20">
        <v>10485</v>
      </c>
      <c r="E6" s="30">
        <v>310</v>
      </c>
      <c r="F6" s="31" t="s">
        <v>113</v>
      </c>
    </row>
    <row r="7" spans="1:6" ht="15.75" x14ac:dyDescent="0.3">
      <c r="A7" s="19" t="s">
        <v>115</v>
      </c>
      <c r="B7" s="20">
        <v>353</v>
      </c>
      <c r="C7" s="29">
        <v>3.94</v>
      </c>
      <c r="D7" s="20">
        <v>9442</v>
      </c>
      <c r="E7" s="30">
        <v>310</v>
      </c>
      <c r="F7" s="31" t="s">
        <v>113</v>
      </c>
    </row>
    <row r="8" spans="1:6" ht="15.75" x14ac:dyDescent="0.3">
      <c r="A8" s="19" t="s">
        <v>116</v>
      </c>
      <c r="B8" s="20">
        <v>70</v>
      </c>
      <c r="C8" s="29">
        <v>15.56</v>
      </c>
      <c r="D8" s="20">
        <v>5358</v>
      </c>
      <c r="E8" s="30">
        <v>310</v>
      </c>
      <c r="F8" s="31" t="s">
        <v>113</v>
      </c>
    </row>
    <row r="9" spans="1:6" ht="15.75" x14ac:dyDescent="0.3">
      <c r="A9" s="19" t="s">
        <v>117</v>
      </c>
      <c r="B9" s="20">
        <v>18</v>
      </c>
      <c r="C9" s="29">
        <v>33.29</v>
      </c>
      <c r="D9" s="20">
        <v>2350</v>
      </c>
      <c r="E9" s="30">
        <v>310</v>
      </c>
      <c r="F9" s="31" t="s">
        <v>113</v>
      </c>
    </row>
    <row r="11" spans="1:6" ht="63" x14ac:dyDescent="0.25">
      <c r="A11" s="5" t="s">
        <v>118</v>
      </c>
    </row>
    <row r="12" spans="1:6" ht="156.75" x14ac:dyDescent="0.25">
      <c r="A12" s="4" t="s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0" customWidth="1"/>
    <col min="2" max="2" width="11" customWidth="1"/>
    <col min="3" max="4" width="13" customWidth="1"/>
    <col min="5" max="5" width="12" customWidth="1"/>
    <col min="6" max="6" width="9" customWidth="1"/>
    <col min="7" max="7" width="12" customWidth="1"/>
  </cols>
  <sheetData>
    <row r="1" spans="1:7" ht="21.95" customHeight="1" x14ac:dyDescent="0.5">
      <c r="A1" s="1" t="s">
        <v>120</v>
      </c>
    </row>
    <row r="2" spans="1:7" ht="16.5" x14ac:dyDescent="0.3">
      <c r="A2" s="2" t="s">
        <v>121</v>
      </c>
    </row>
    <row r="4" spans="1:7" ht="30" customHeight="1" x14ac:dyDescent="0.25">
      <c r="A4" s="7" t="s">
        <v>122</v>
      </c>
      <c r="B4" s="7" t="s">
        <v>123</v>
      </c>
      <c r="C4" s="7" t="s">
        <v>124</v>
      </c>
      <c r="D4" s="7" t="s">
        <v>125</v>
      </c>
      <c r="E4" s="7" t="s">
        <v>51</v>
      </c>
      <c r="F4" s="7" t="s">
        <v>52</v>
      </c>
      <c r="G4" s="7" t="s">
        <v>126</v>
      </c>
    </row>
    <row r="5" spans="1:7" ht="15.75" x14ac:dyDescent="0.3">
      <c r="A5" s="19" t="s">
        <v>127</v>
      </c>
      <c r="B5" s="20">
        <v>22</v>
      </c>
      <c r="C5" s="20">
        <v>5500</v>
      </c>
      <c r="D5" s="20">
        <v>1320</v>
      </c>
      <c r="E5" s="21">
        <v>0.88</v>
      </c>
      <c r="F5" s="22">
        <v>0</v>
      </c>
      <c r="G5" s="32">
        <v>0</v>
      </c>
    </row>
    <row r="6" spans="1:7" ht="15.75" x14ac:dyDescent="0.3">
      <c r="A6" s="19" t="s">
        <v>128</v>
      </c>
      <c r="B6" s="20">
        <v>20</v>
      </c>
      <c r="C6" s="20">
        <v>5000</v>
      </c>
      <c r="D6" s="20">
        <v>1200</v>
      </c>
      <c r="E6" s="21">
        <v>0.8</v>
      </c>
      <c r="F6" s="22">
        <v>0</v>
      </c>
      <c r="G6" s="32">
        <v>0</v>
      </c>
    </row>
    <row r="7" spans="1:7" ht="15.75" x14ac:dyDescent="0.3">
      <c r="A7" s="19" t="s">
        <v>129</v>
      </c>
      <c r="B7" s="20">
        <v>18</v>
      </c>
      <c r="C7" s="20">
        <v>4500</v>
      </c>
      <c r="D7" s="20">
        <v>1080</v>
      </c>
      <c r="E7" s="21">
        <v>0.72</v>
      </c>
      <c r="F7" s="22">
        <v>0</v>
      </c>
      <c r="G7" s="32">
        <v>0</v>
      </c>
    </row>
    <row r="8" spans="1:7" ht="15.75" x14ac:dyDescent="0.3">
      <c r="A8" s="19" t="s">
        <v>130</v>
      </c>
      <c r="B8" s="20">
        <v>18</v>
      </c>
      <c r="C8" s="20">
        <v>3500</v>
      </c>
      <c r="D8" s="20">
        <v>840</v>
      </c>
      <c r="E8" s="21">
        <v>0.56000000000000005</v>
      </c>
      <c r="F8" s="22">
        <v>2</v>
      </c>
      <c r="G8" s="32">
        <v>0</v>
      </c>
    </row>
    <row r="9" spans="1:7" ht="15.75" x14ac:dyDescent="0.3">
      <c r="A9" s="19" t="s">
        <v>131</v>
      </c>
      <c r="B9" s="20">
        <v>8</v>
      </c>
      <c r="C9" s="20">
        <v>2000</v>
      </c>
      <c r="D9" s="20">
        <v>480</v>
      </c>
      <c r="E9" s="21">
        <v>0.32</v>
      </c>
      <c r="F9" s="22">
        <v>0</v>
      </c>
      <c r="G9" s="32">
        <v>0</v>
      </c>
    </row>
    <row r="10" spans="1:7" ht="15.75" x14ac:dyDescent="0.3">
      <c r="A10" s="19" t="s">
        <v>132</v>
      </c>
      <c r="B10" s="20">
        <v>2</v>
      </c>
      <c r="C10" s="20">
        <v>500</v>
      </c>
      <c r="D10" s="20">
        <v>120</v>
      </c>
      <c r="E10" s="21">
        <v>0.08</v>
      </c>
      <c r="F10" s="22">
        <v>0</v>
      </c>
      <c r="G10" s="32">
        <v>0</v>
      </c>
    </row>
    <row r="11" spans="1:7" ht="15.75" x14ac:dyDescent="0.3">
      <c r="A11" s="23" t="s">
        <v>84</v>
      </c>
      <c r="B11" s="24">
        <v>88</v>
      </c>
      <c r="C11" s="24">
        <v>21000</v>
      </c>
      <c r="D11" s="24">
        <v>5040</v>
      </c>
      <c r="E11" s="26">
        <v>3.36</v>
      </c>
      <c r="F11" s="27">
        <v>2</v>
      </c>
      <c r="G11" s="25"/>
    </row>
  </sheetData>
  <conditionalFormatting sqref="E5:E10">
    <cfRule type="dataBar" priority="1">
      <dataBar>
        <cfvo type="num" val="0"/>
        <cfvo type="max"/>
        <color rgb="FF0B8C79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241D"/>
  </sheetPr>
  <dimension ref="A1:G2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12" customWidth="1"/>
    <col min="3" max="3" width="26" customWidth="1"/>
    <col min="4" max="4" width="8" customWidth="1"/>
    <col min="5" max="5" width="13" customWidth="1"/>
    <col min="6" max="6" width="14" customWidth="1"/>
    <col min="7" max="7" width="54" customWidth="1"/>
  </cols>
  <sheetData>
    <row r="1" spans="1:7" ht="21.95" customHeight="1" x14ac:dyDescent="0.5">
      <c r="A1" s="1" t="s">
        <v>133</v>
      </c>
    </row>
    <row r="2" spans="1:7" ht="16.5" x14ac:dyDescent="0.3">
      <c r="A2" s="2" t="s">
        <v>134</v>
      </c>
    </row>
    <row r="4" spans="1:7" ht="30" customHeight="1" x14ac:dyDescent="0.25">
      <c r="A4" s="7" t="s">
        <v>44</v>
      </c>
      <c r="B4" s="7" t="s">
        <v>135</v>
      </c>
      <c r="C4" s="7" t="s">
        <v>136</v>
      </c>
      <c r="D4" s="7" t="s">
        <v>137</v>
      </c>
      <c r="E4" s="7" t="s">
        <v>138</v>
      </c>
      <c r="F4" s="7" t="s">
        <v>139</v>
      </c>
      <c r="G4" s="7" t="s">
        <v>140</v>
      </c>
    </row>
    <row r="5" spans="1:7" ht="27.95" customHeight="1" x14ac:dyDescent="0.3">
      <c r="A5" s="33" t="s">
        <v>56</v>
      </c>
      <c r="B5" s="33" t="s">
        <v>141</v>
      </c>
      <c r="C5" s="33" t="s">
        <v>142</v>
      </c>
      <c r="D5" s="34">
        <v>15</v>
      </c>
      <c r="E5" s="21">
        <v>0</v>
      </c>
      <c r="F5" s="20">
        <v>0</v>
      </c>
      <c r="G5" s="10" t="s">
        <v>143</v>
      </c>
    </row>
    <row r="6" spans="1:7" ht="27.95" customHeight="1" x14ac:dyDescent="0.3">
      <c r="A6" s="33" t="s">
        <v>59</v>
      </c>
      <c r="B6" s="33" t="s">
        <v>141</v>
      </c>
      <c r="C6" s="33" t="s">
        <v>142</v>
      </c>
      <c r="D6" s="34">
        <v>5</v>
      </c>
      <c r="E6" s="21">
        <v>0</v>
      </c>
      <c r="F6" s="20">
        <v>0</v>
      </c>
      <c r="G6" s="10" t="s">
        <v>143</v>
      </c>
    </row>
    <row r="7" spans="1:7" ht="27.95" customHeight="1" x14ac:dyDescent="0.3">
      <c r="A7" s="33" t="s">
        <v>61</v>
      </c>
      <c r="B7" s="33" t="s">
        <v>141</v>
      </c>
      <c r="C7" s="33" t="s">
        <v>142</v>
      </c>
      <c r="D7" s="34">
        <v>3</v>
      </c>
      <c r="E7" s="21">
        <v>0</v>
      </c>
      <c r="F7" s="20">
        <v>0</v>
      </c>
      <c r="G7" s="10" t="s">
        <v>143</v>
      </c>
    </row>
    <row r="8" spans="1:7" ht="27.95" customHeight="1" x14ac:dyDescent="0.3">
      <c r="A8" s="33" t="s">
        <v>63</v>
      </c>
      <c r="B8" s="33" t="s">
        <v>141</v>
      </c>
      <c r="C8" s="33" t="s">
        <v>142</v>
      </c>
      <c r="D8" s="34">
        <v>3</v>
      </c>
      <c r="E8" s="21">
        <v>0</v>
      </c>
      <c r="F8" s="20">
        <v>0</v>
      </c>
      <c r="G8" s="10" t="s">
        <v>143</v>
      </c>
    </row>
    <row r="9" spans="1:7" ht="27.95" customHeight="1" x14ac:dyDescent="0.3">
      <c r="A9" s="33" t="s">
        <v>65</v>
      </c>
      <c r="B9" s="33" t="s">
        <v>141</v>
      </c>
      <c r="C9" s="33" t="s">
        <v>142</v>
      </c>
      <c r="D9" s="34">
        <v>3</v>
      </c>
      <c r="E9" s="21">
        <v>0</v>
      </c>
      <c r="F9" s="20">
        <v>0</v>
      </c>
      <c r="G9" s="10" t="s">
        <v>143</v>
      </c>
    </row>
    <row r="10" spans="1:7" ht="27.95" customHeight="1" x14ac:dyDescent="0.3">
      <c r="A10" s="33" t="s">
        <v>67</v>
      </c>
      <c r="B10" s="33" t="s">
        <v>141</v>
      </c>
      <c r="C10" s="33" t="s">
        <v>142</v>
      </c>
      <c r="D10" s="34">
        <v>3</v>
      </c>
      <c r="E10" s="21">
        <v>0</v>
      </c>
      <c r="F10" s="20">
        <v>0</v>
      </c>
      <c r="G10" s="10" t="s">
        <v>143</v>
      </c>
    </row>
    <row r="11" spans="1:7" ht="27.95" customHeight="1" x14ac:dyDescent="0.3">
      <c r="A11" s="33" t="s">
        <v>69</v>
      </c>
      <c r="B11" s="33" t="s">
        <v>141</v>
      </c>
      <c r="C11" s="33" t="s">
        <v>142</v>
      </c>
      <c r="D11" s="34">
        <v>3</v>
      </c>
      <c r="E11" s="21">
        <v>0</v>
      </c>
      <c r="F11" s="20">
        <v>0</v>
      </c>
      <c r="G11" s="10" t="s">
        <v>143</v>
      </c>
    </row>
    <row r="12" spans="1:7" ht="27.95" customHeight="1" x14ac:dyDescent="0.3">
      <c r="A12" s="33" t="s">
        <v>75</v>
      </c>
      <c r="B12" s="33" t="s">
        <v>141</v>
      </c>
      <c r="C12" s="33" t="s">
        <v>142</v>
      </c>
      <c r="D12" s="34">
        <v>2</v>
      </c>
      <c r="E12" s="21">
        <v>0</v>
      </c>
      <c r="F12" s="20">
        <v>0</v>
      </c>
      <c r="G12" s="10" t="s">
        <v>143</v>
      </c>
    </row>
    <row r="13" spans="1:7" ht="27.95" customHeight="1" x14ac:dyDescent="0.3">
      <c r="A13" s="33" t="s">
        <v>71</v>
      </c>
      <c r="B13" s="33" t="s">
        <v>141</v>
      </c>
      <c r="C13" s="33" t="s">
        <v>142</v>
      </c>
      <c r="D13" s="34">
        <v>2</v>
      </c>
      <c r="E13" s="21">
        <v>0</v>
      </c>
      <c r="F13" s="20">
        <v>0</v>
      </c>
      <c r="G13" s="10" t="s">
        <v>143</v>
      </c>
    </row>
    <row r="14" spans="1:7" ht="27.95" customHeight="1" x14ac:dyDescent="0.3">
      <c r="A14" s="33" t="s">
        <v>73</v>
      </c>
      <c r="B14" s="33" t="s">
        <v>141</v>
      </c>
      <c r="C14" s="33" t="s">
        <v>142</v>
      </c>
      <c r="D14" s="34">
        <v>1</v>
      </c>
      <c r="E14" s="21">
        <v>0</v>
      </c>
      <c r="F14" s="20">
        <v>0</v>
      </c>
      <c r="G14" s="10" t="s">
        <v>143</v>
      </c>
    </row>
    <row r="15" spans="1:7" ht="27.95" customHeight="1" x14ac:dyDescent="0.3">
      <c r="A15" s="33" t="s">
        <v>77</v>
      </c>
      <c r="B15" s="33" t="s">
        <v>141</v>
      </c>
      <c r="C15" s="33" t="s">
        <v>142</v>
      </c>
      <c r="D15" s="34">
        <v>1</v>
      </c>
      <c r="E15" s="21">
        <v>0</v>
      </c>
      <c r="F15" s="20">
        <v>0</v>
      </c>
      <c r="G15" s="10" t="s">
        <v>143</v>
      </c>
    </row>
    <row r="16" spans="1:7" ht="27.95" customHeight="1" x14ac:dyDescent="0.3">
      <c r="A16" s="33" t="s">
        <v>83</v>
      </c>
      <c r="B16" s="33" t="s">
        <v>141</v>
      </c>
      <c r="C16" s="33" t="s">
        <v>142</v>
      </c>
      <c r="D16" s="34">
        <v>1</v>
      </c>
      <c r="E16" s="21">
        <v>0</v>
      </c>
      <c r="F16" s="20">
        <v>0</v>
      </c>
      <c r="G16" s="10" t="s">
        <v>143</v>
      </c>
    </row>
    <row r="17" spans="1:7" ht="27.95" customHeight="1" x14ac:dyDescent="0.3">
      <c r="A17" s="33" t="s">
        <v>79</v>
      </c>
      <c r="B17" s="33" t="s">
        <v>141</v>
      </c>
      <c r="C17" s="33" t="s">
        <v>142</v>
      </c>
      <c r="D17" s="34">
        <v>1</v>
      </c>
      <c r="E17" s="21">
        <v>0</v>
      </c>
      <c r="F17" s="20">
        <v>0</v>
      </c>
      <c r="G17" s="10" t="s">
        <v>143</v>
      </c>
    </row>
    <row r="18" spans="1:7" ht="27.95" customHeight="1" x14ac:dyDescent="0.3">
      <c r="A18" s="33" t="s">
        <v>81</v>
      </c>
      <c r="B18" s="33" t="s">
        <v>141</v>
      </c>
      <c r="C18" s="33" t="s">
        <v>142</v>
      </c>
      <c r="D18" s="34">
        <v>1</v>
      </c>
      <c r="E18" s="21">
        <v>0</v>
      </c>
      <c r="F18" s="20">
        <v>0</v>
      </c>
      <c r="G18" s="10" t="s">
        <v>143</v>
      </c>
    </row>
    <row r="19" spans="1:7" ht="27.95" customHeight="1" x14ac:dyDescent="0.3">
      <c r="A19" s="35" t="s">
        <v>75</v>
      </c>
      <c r="B19" s="35" t="s">
        <v>144</v>
      </c>
      <c r="C19" s="35" t="s">
        <v>145</v>
      </c>
      <c r="D19" s="36">
        <v>1</v>
      </c>
      <c r="E19" s="21">
        <v>0</v>
      </c>
      <c r="F19" s="20">
        <v>0</v>
      </c>
      <c r="G19" s="10" t="s">
        <v>146</v>
      </c>
    </row>
    <row r="20" spans="1:7" ht="27.95" customHeight="1" x14ac:dyDescent="0.3">
      <c r="A20" s="35" t="s">
        <v>83</v>
      </c>
      <c r="B20" s="35" t="s">
        <v>144</v>
      </c>
      <c r="C20" s="35" t="s">
        <v>145</v>
      </c>
      <c r="D20" s="36">
        <v>1</v>
      </c>
      <c r="E20" s="21">
        <v>0</v>
      </c>
      <c r="F20" s="20">
        <v>0</v>
      </c>
      <c r="G20" s="10" t="s">
        <v>146</v>
      </c>
    </row>
    <row r="22" spans="1:7" ht="49.5" x14ac:dyDescent="0.25">
      <c r="A22" s="3" t="s">
        <v>147</v>
      </c>
    </row>
    <row r="23" spans="1:7" ht="42.75" x14ac:dyDescent="0.25">
      <c r="A23" s="4" t="s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A5A22"/>
  </sheetPr>
  <dimension ref="A1:H2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6" customWidth="1"/>
    <col min="2" max="2" width="24" customWidth="1"/>
    <col min="3" max="4" width="11" customWidth="1"/>
    <col min="5" max="5" width="10" customWidth="1"/>
    <col min="6" max="6" width="12" customWidth="1"/>
    <col min="7" max="7" width="13" customWidth="1"/>
    <col min="8" max="8" width="40" customWidth="1"/>
  </cols>
  <sheetData>
    <row r="1" spans="1:8" ht="21.95" customHeight="1" x14ac:dyDescent="0.5">
      <c r="A1" s="1" t="s">
        <v>149</v>
      </c>
    </row>
    <row r="2" spans="1:8" ht="16.5" x14ac:dyDescent="0.3">
      <c r="A2" s="2" t="s">
        <v>150</v>
      </c>
    </row>
    <row r="4" spans="1:8" ht="30" customHeight="1" x14ac:dyDescent="0.25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  <c r="G4" s="7" t="s">
        <v>157</v>
      </c>
      <c r="H4" s="7" t="s">
        <v>111</v>
      </c>
    </row>
    <row r="5" spans="1:8" ht="28.5" x14ac:dyDescent="0.3">
      <c r="A5" s="19" t="s">
        <v>66</v>
      </c>
      <c r="B5" s="19" t="s">
        <v>158</v>
      </c>
      <c r="C5" s="20">
        <v>796</v>
      </c>
      <c r="D5" s="20">
        <v>1</v>
      </c>
      <c r="E5" s="20">
        <v>0</v>
      </c>
      <c r="F5" s="37">
        <v>1E-3</v>
      </c>
      <c r="G5" s="38">
        <v>0.745</v>
      </c>
      <c r="H5" s="10" t="s">
        <v>159</v>
      </c>
    </row>
    <row r="6" spans="1:8" ht="15.75" x14ac:dyDescent="0.3">
      <c r="A6" s="19" t="s">
        <v>74</v>
      </c>
      <c r="B6" s="19" t="s">
        <v>160</v>
      </c>
      <c r="C6" s="20">
        <v>254</v>
      </c>
      <c r="D6" s="20">
        <v>0</v>
      </c>
      <c r="E6" s="20">
        <v>0</v>
      </c>
      <c r="F6" s="37">
        <v>0</v>
      </c>
      <c r="G6" s="38">
        <v>0.82</v>
      </c>
      <c r="H6" s="10" t="s">
        <v>161</v>
      </c>
    </row>
    <row r="7" spans="1:8" ht="15.75" x14ac:dyDescent="0.3">
      <c r="A7" s="19" t="s">
        <v>162</v>
      </c>
      <c r="B7" s="19" t="s">
        <v>163</v>
      </c>
      <c r="C7" s="20">
        <v>76</v>
      </c>
      <c r="D7" s="20">
        <v>0</v>
      </c>
      <c r="E7" s="20">
        <v>0</v>
      </c>
      <c r="F7" s="37">
        <v>0</v>
      </c>
      <c r="G7" s="38">
        <v>0.82</v>
      </c>
      <c r="H7" s="10" t="s">
        <v>161</v>
      </c>
    </row>
    <row r="8" spans="1:8" ht="15.75" x14ac:dyDescent="0.3">
      <c r="A8" s="19" t="s">
        <v>76</v>
      </c>
      <c r="B8" s="19" t="s">
        <v>164</v>
      </c>
      <c r="C8" s="20">
        <v>65</v>
      </c>
      <c r="D8" s="20">
        <v>0</v>
      </c>
      <c r="E8" s="20">
        <v>0</v>
      </c>
      <c r="F8" s="37">
        <v>0</v>
      </c>
      <c r="G8" s="38">
        <v>0.82</v>
      </c>
      <c r="H8" s="10" t="s">
        <v>161</v>
      </c>
    </row>
    <row r="9" spans="1:8" ht="15.75" x14ac:dyDescent="0.3">
      <c r="A9" s="19" t="s">
        <v>72</v>
      </c>
      <c r="B9" s="19" t="s">
        <v>165</v>
      </c>
      <c r="C9" s="20">
        <v>63</v>
      </c>
      <c r="D9" s="20">
        <v>0</v>
      </c>
      <c r="E9" s="20">
        <v>0</v>
      </c>
      <c r="F9" s="37">
        <v>0</v>
      </c>
      <c r="G9" s="38">
        <v>0.82</v>
      </c>
      <c r="H9" s="10" t="s">
        <v>161</v>
      </c>
    </row>
    <row r="10" spans="1:8" ht="15.75" x14ac:dyDescent="0.3">
      <c r="A10" s="19" t="s">
        <v>70</v>
      </c>
      <c r="B10" s="19" t="s">
        <v>166</v>
      </c>
      <c r="C10" s="20">
        <v>44</v>
      </c>
      <c r="D10" s="20">
        <v>0</v>
      </c>
      <c r="E10" s="20">
        <v>0</v>
      </c>
      <c r="F10" s="37">
        <v>0</v>
      </c>
      <c r="G10" s="38">
        <v>0.82</v>
      </c>
      <c r="H10" s="10" t="s">
        <v>161</v>
      </c>
    </row>
    <row r="11" spans="1:8" ht="15.75" x14ac:dyDescent="0.3">
      <c r="A11" s="19" t="s">
        <v>82</v>
      </c>
      <c r="B11" s="19" t="s">
        <v>167</v>
      </c>
      <c r="C11" s="20">
        <v>18</v>
      </c>
      <c r="D11" s="20">
        <v>1</v>
      </c>
      <c r="E11" s="20">
        <v>0</v>
      </c>
      <c r="F11" s="37">
        <v>5.5999999999999987E-2</v>
      </c>
      <c r="G11" s="38">
        <v>0.82</v>
      </c>
      <c r="H11" s="10"/>
    </row>
    <row r="12" spans="1:8" ht="15.75" x14ac:dyDescent="0.3">
      <c r="A12" s="19" t="s">
        <v>62</v>
      </c>
      <c r="B12" s="19" t="s">
        <v>168</v>
      </c>
      <c r="C12" s="20">
        <v>12</v>
      </c>
      <c r="D12" s="20">
        <v>0</v>
      </c>
      <c r="E12" s="20">
        <v>0</v>
      </c>
      <c r="F12" s="37">
        <v>0</v>
      </c>
      <c r="G12" s="38">
        <v>0.80300000000000005</v>
      </c>
      <c r="H12" s="10" t="s">
        <v>161</v>
      </c>
    </row>
    <row r="13" spans="1:8" ht="15.75" x14ac:dyDescent="0.3">
      <c r="A13" s="19" t="s">
        <v>68</v>
      </c>
      <c r="B13" s="19" t="s">
        <v>169</v>
      </c>
      <c r="C13" s="20">
        <v>11</v>
      </c>
      <c r="D13" s="20">
        <v>0</v>
      </c>
      <c r="E13" s="20">
        <v>0</v>
      </c>
      <c r="F13" s="37">
        <v>0</v>
      </c>
      <c r="G13" s="38">
        <v>0.82</v>
      </c>
      <c r="H13" s="10" t="s">
        <v>161</v>
      </c>
    </row>
    <row r="14" spans="1:8" ht="15.75" x14ac:dyDescent="0.3">
      <c r="A14" s="19" t="s">
        <v>162</v>
      </c>
      <c r="B14" s="19" t="s">
        <v>170</v>
      </c>
      <c r="C14" s="20">
        <v>10</v>
      </c>
      <c r="D14" s="20">
        <v>0</v>
      </c>
      <c r="E14" s="20">
        <v>0</v>
      </c>
      <c r="F14" s="37">
        <v>0</v>
      </c>
      <c r="G14" s="38">
        <v>0.82</v>
      </c>
      <c r="H14" s="10" t="s">
        <v>161</v>
      </c>
    </row>
    <row r="15" spans="1:8" ht="15.75" x14ac:dyDescent="0.3">
      <c r="A15" s="19" t="s">
        <v>60</v>
      </c>
      <c r="B15" s="19" t="s">
        <v>171</v>
      </c>
      <c r="C15" s="20">
        <v>6</v>
      </c>
      <c r="D15" s="20">
        <v>3</v>
      </c>
      <c r="E15" s="20">
        <v>0</v>
      </c>
      <c r="F15" s="37">
        <v>0.5</v>
      </c>
      <c r="G15" s="38">
        <v>0.82</v>
      </c>
      <c r="H15" s="10"/>
    </row>
    <row r="16" spans="1:8" ht="15.75" x14ac:dyDescent="0.3">
      <c r="A16" s="19" t="s">
        <v>64</v>
      </c>
      <c r="B16" s="19" t="s">
        <v>172</v>
      </c>
      <c r="C16" s="20">
        <v>6</v>
      </c>
      <c r="D16" s="20">
        <v>3</v>
      </c>
      <c r="E16" s="20">
        <v>0</v>
      </c>
      <c r="F16" s="37">
        <v>0.5</v>
      </c>
      <c r="G16" s="38">
        <v>0.82</v>
      </c>
      <c r="H16" s="10"/>
    </row>
    <row r="17" spans="1:8" ht="15.75" x14ac:dyDescent="0.3">
      <c r="A17" s="19" t="s">
        <v>78</v>
      </c>
      <c r="B17" s="19" t="s">
        <v>173</v>
      </c>
      <c r="C17" s="20">
        <v>3</v>
      </c>
      <c r="D17" s="20">
        <v>0</v>
      </c>
      <c r="E17" s="20">
        <v>0</v>
      </c>
      <c r="F17" s="37">
        <v>0</v>
      </c>
      <c r="G17" s="38">
        <v>0.76700000000000002</v>
      </c>
      <c r="H17" s="10" t="s">
        <v>161</v>
      </c>
    </row>
    <row r="18" spans="1:8" ht="15.75" x14ac:dyDescent="0.3">
      <c r="A18" s="19" t="s">
        <v>80</v>
      </c>
      <c r="B18" s="19" t="s">
        <v>174</v>
      </c>
      <c r="C18" s="20">
        <v>3</v>
      </c>
      <c r="D18" s="20">
        <v>0</v>
      </c>
      <c r="E18" s="20">
        <v>0</v>
      </c>
      <c r="F18" s="37">
        <v>0</v>
      </c>
      <c r="G18" s="38">
        <v>0.82</v>
      </c>
      <c r="H18" s="10" t="s">
        <v>161</v>
      </c>
    </row>
    <row r="19" spans="1:8" ht="15.75" x14ac:dyDescent="0.3">
      <c r="A19" s="23" t="s">
        <v>84</v>
      </c>
      <c r="B19" s="23"/>
      <c r="C19" s="24">
        <v>1367</v>
      </c>
      <c r="D19" s="24">
        <v>8</v>
      </c>
      <c r="E19" s="24">
        <v>0</v>
      </c>
      <c r="F19" s="39">
        <v>5.8522311631309439E-3</v>
      </c>
      <c r="G19" s="25"/>
      <c r="H19" s="25"/>
    </row>
    <row r="21" spans="1:8" ht="33" x14ac:dyDescent="0.25">
      <c r="A21" s="3" t="s">
        <v>175</v>
      </c>
    </row>
    <row r="22" spans="1:8" ht="128.25" x14ac:dyDescent="0.25">
      <c r="A22" s="4" t="s">
        <v>176</v>
      </c>
    </row>
  </sheetData>
  <conditionalFormatting sqref="C5:C18">
    <cfRule type="dataBar" priority="1">
      <dataBar>
        <cfvo type="num" val="0"/>
        <cfvo type="max"/>
        <color rgb="FF9A5A22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40" customWidth="1"/>
    <col min="2" max="2" width="12" customWidth="1"/>
    <col min="3" max="3" width="14" customWidth="1"/>
    <col min="4" max="4" width="12" customWidth="1"/>
    <col min="5" max="5" width="11" customWidth="1"/>
    <col min="6" max="6" width="50" customWidth="1"/>
  </cols>
  <sheetData>
    <row r="1" spans="1:6" ht="21.95" customHeight="1" x14ac:dyDescent="0.5">
      <c r="A1" s="1" t="s">
        <v>177</v>
      </c>
    </row>
    <row r="2" spans="1:6" ht="16.5" x14ac:dyDescent="0.3">
      <c r="A2" s="2" t="s">
        <v>178</v>
      </c>
    </row>
    <row r="4" spans="1:6" ht="30" customHeight="1" x14ac:dyDescent="0.25">
      <c r="A4" s="7" t="s">
        <v>179</v>
      </c>
      <c r="B4" s="7" t="s">
        <v>180</v>
      </c>
      <c r="C4" s="7" t="s">
        <v>181</v>
      </c>
      <c r="D4" s="7" t="s">
        <v>182</v>
      </c>
      <c r="E4" s="7" t="s">
        <v>89</v>
      </c>
      <c r="F4" s="7" t="s">
        <v>111</v>
      </c>
    </row>
    <row r="5" spans="1:6" ht="15.75" x14ac:dyDescent="0.3">
      <c r="A5" s="19" t="s">
        <v>183</v>
      </c>
      <c r="B5" s="19" t="s">
        <v>184</v>
      </c>
      <c r="C5" s="40" t="s">
        <v>185</v>
      </c>
      <c r="D5" s="40" t="s">
        <v>185</v>
      </c>
      <c r="E5" s="22">
        <v>0</v>
      </c>
      <c r="F5" s="31" t="s">
        <v>186</v>
      </c>
    </row>
    <row r="6" spans="1:6" ht="15.75" x14ac:dyDescent="0.3">
      <c r="A6" s="19" t="s">
        <v>183</v>
      </c>
      <c r="B6" s="19" t="s">
        <v>187</v>
      </c>
      <c r="C6" s="40" t="s">
        <v>185</v>
      </c>
      <c r="D6" s="40" t="s">
        <v>185</v>
      </c>
      <c r="E6" s="22">
        <v>0</v>
      </c>
      <c r="F6" s="31"/>
    </row>
    <row r="7" spans="1:6" ht="15.75" x14ac:dyDescent="0.3">
      <c r="A7" s="19" t="s">
        <v>188</v>
      </c>
      <c r="B7" s="19" t="s">
        <v>184</v>
      </c>
      <c r="C7" s="40" t="s">
        <v>185</v>
      </c>
      <c r="D7" s="40" t="s">
        <v>185</v>
      </c>
      <c r="E7" s="22">
        <v>0</v>
      </c>
      <c r="F7" s="31"/>
    </row>
    <row r="8" spans="1:6" ht="15.75" x14ac:dyDescent="0.3">
      <c r="A8" s="19" t="s">
        <v>188</v>
      </c>
      <c r="B8" s="19" t="s">
        <v>187</v>
      </c>
      <c r="C8" s="40" t="s">
        <v>185</v>
      </c>
      <c r="D8" s="40" t="s">
        <v>185</v>
      </c>
      <c r="E8" s="22">
        <v>0</v>
      </c>
      <c r="F8" s="31"/>
    </row>
    <row r="9" spans="1:6" ht="15.75" x14ac:dyDescent="0.3">
      <c r="A9" s="19" t="s">
        <v>189</v>
      </c>
      <c r="B9" s="19" t="s">
        <v>184</v>
      </c>
      <c r="C9" s="40" t="s">
        <v>185</v>
      </c>
      <c r="D9" s="40" t="s">
        <v>185</v>
      </c>
      <c r="E9" s="22">
        <v>0</v>
      </c>
      <c r="F9" s="31"/>
    </row>
    <row r="10" spans="1:6" ht="15.75" x14ac:dyDescent="0.3">
      <c r="A10" s="19" t="s">
        <v>189</v>
      </c>
      <c r="B10" s="19" t="s">
        <v>187</v>
      </c>
      <c r="C10" s="40" t="s">
        <v>185</v>
      </c>
      <c r="D10" s="40" t="s">
        <v>185</v>
      </c>
      <c r="E10" s="22">
        <v>0</v>
      </c>
      <c r="F10" s="31"/>
    </row>
    <row r="11" spans="1:6" ht="15.75" x14ac:dyDescent="0.3">
      <c r="A11" s="19" t="s">
        <v>190</v>
      </c>
      <c r="B11" s="19" t="s">
        <v>184</v>
      </c>
      <c r="C11" s="40" t="s">
        <v>185</v>
      </c>
      <c r="D11" s="40" t="s">
        <v>185</v>
      </c>
      <c r="E11" s="22">
        <v>0</v>
      </c>
      <c r="F11" s="31"/>
    </row>
    <row r="12" spans="1:6" ht="15.75" x14ac:dyDescent="0.3">
      <c r="A12" s="19" t="s">
        <v>190</v>
      </c>
      <c r="B12" s="19" t="s">
        <v>187</v>
      </c>
      <c r="C12" s="40" t="s">
        <v>185</v>
      </c>
      <c r="D12" s="40" t="s">
        <v>185</v>
      </c>
      <c r="E12" s="22">
        <v>0</v>
      </c>
      <c r="F12" s="31"/>
    </row>
    <row r="13" spans="1:6" ht="15.75" x14ac:dyDescent="0.3">
      <c r="A13" s="19" t="s">
        <v>191</v>
      </c>
      <c r="B13" s="19" t="s">
        <v>184</v>
      </c>
      <c r="C13" s="40" t="s">
        <v>185</v>
      </c>
      <c r="D13" s="40" t="s">
        <v>185</v>
      </c>
      <c r="E13" s="22">
        <v>0</v>
      </c>
      <c r="F13" s="31"/>
    </row>
    <row r="14" spans="1:6" ht="15.75" x14ac:dyDescent="0.3">
      <c r="A14" s="19" t="s">
        <v>191</v>
      </c>
      <c r="B14" s="19" t="s">
        <v>187</v>
      </c>
      <c r="C14" s="40" t="s">
        <v>185</v>
      </c>
      <c r="D14" s="40" t="s">
        <v>185</v>
      </c>
      <c r="E14" s="22">
        <v>0</v>
      </c>
      <c r="F14" s="31"/>
    </row>
    <row r="15" spans="1:6" ht="15.75" x14ac:dyDescent="0.3">
      <c r="A15" s="19" t="s">
        <v>192</v>
      </c>
      <c r="B15" s="19" t="s">
        <v>184</v>
      </c>
      <c r="C15" s="40" t="s">
        <v>185</v>
      </c>
      <c r="D15" s="40" t="s">
        <v>185</v>
      </c>
      <c r="E15" s="22">
        <v>0</v>
      </c>
      <c r="F15" s="31"/>
    </row>
    <row r="16" spans="1:6" ht="15.75" x14ac:dyDescent="0.3">
      <c r="A16" s="19" t="s">
        <v>192</v>
      </c>
      <c r="B16" s="19" t="s">
        <v>187</v>
      </c>
      <c r="C16" s="40" t="s">
        <v>185</v>
      </c>
      <c r="D16" s="40" t="s">
        <v>185</v>
      </c>
      <c r="E16" s="22">
        <v>0</v>
      </c>
      <c r="F16" s="31"/>
    </row>
    <row r="17" spans="1:6" ht="15.75" x14ac:dyDescent="0.3">
      <c r="A17" s="19" t="s">
        <v>193</v>
      </c>
      <c r="B17" s="19" t="s">
        <v>184</v>
      </c>
      <c r="C17" s="40" t="s">
        <v>185</v>
      </c>
      <c r="D17" s="40" t="s">
        <v>185</v>
      </c>
      <c r="E17" s="22">
        <v>0</v>
      </c>
      <c r="F17" s="31"/>
    </row>
    <row r="18" spans="1:6" ht="15.75" x14ac:dyDescent="0.3">
      <c r="A18" s="19" t="s">
        <v>193</v>
      </c>
      <c r="B18" s="19" t="s">
        <v>187</v>
      </c>
      <c r="C18" s="40" t="s">
        <v>185</v>
      </c>
      <c r="D18" s="40" t="s">
        <v>185</v>
      </c>
      <c r="E18" s="22">
        <v>0</v>
      </c>
      <c r="F18" s="31"/>
    </row>
    <row r="19" spans="1:6" ht="15.75" x14ac:dyDescent="0.3">
      <c r="A19" s="19" t="s">
        <v>194</v>
      </c>
      <c r="B19" s="19" t="s">
        <v>184</v>
      </c>
      <c r="C19" s="40" t="s">
        <v>185</v>
      </c>
      <c r="D19" s="40" t="s">
        <v>185</v>
      </c>
      <c r="E19" s="22">
        <v>0</v>
      </c>
      <c r="F19" s="31"/>
    </row>
    <row r="20" spans="1:6" ht="15.75" x14ac:dyDescent="0.3">
      <c r="A20" s="19" t="s">
        <v>194</v>
      </c>
      <c r="B20" s="19" t="s">
        <v>187</v>
      </c>
      <c r="C20" s="40" t="s">
        <v>185</v>
      </c>
      <c r="D20" s="40" t="s">
        <v>185</v>
      </c>
      <c r="E20" s="22">
        <v>0</v>
      </c>
      <c r="F20" s="31"/>
    </row>
    <row r="21" spans="1:6" ht="15.75" x14ac:dyDescent="0.3">
      <c r="A21" s="19" t="s">
        <v>195</v>
      </c>
      <c r="B21" s="19" t="s">
        <v>184</v>
      </c>
      <c r="C21" s="40" t="s">
        <v>185</v>
      </c>
      <c r="D21" s="40" t="s">
        <v>185</v>
      </c>
      <c r="E21" s="22">
        <v>0</v>
      </c>
      <c r="F21" s="31"/>
    </row>
    <row r="22" spans="1:6" ht="15.75" x14ac:dyDescent="0.3">
      <c r="A22" s="19" t="s">
        <v>195</v>
      </c>
      <c r="B22" s="19" t="s">
        <v>187</v>
      </c>
      <c r="C22" s="40" t="s">
        <v>185</v>
      </c>
      <c r="D22" s="40" t="s">
        <v>185</v>
      </c>
      <c r="E22" s="22">
        <v>0</v>
      </c>
      <c r="F22" s="31"/>
    </row>
    <row r="23" spans="1:6" ht="15.75" x14ac:dyDescent="0.3">
      <c r="A23" s="19" t="s">
        <v>196</v>
      </c>
      <c r="B23" s="19" t="s">
        <v>184</v>
      </c>
      <c r="C23" s="40" t="s">
        <v>185</v>
      </c>
      <c r="D23" s="40" t="s">
        <v>185</v>
      </c>
      <c r="E23" s="22">
        <v>0</v>
      </c>
      <c r="F23" s="31"/>
    </row>
    <row r="24" spans="1:6" ht="15.75" x14ac:dyDescent="0.3">
      <c r="A24" s="19" t="s">
        <v>196</v>
      </c>
      <c r="B24" s="19" t="s">
        <v>187</v>
      </c>
      <c r="C24" s="40" t="s">
        <v>185</v>
      </c>
      <c r="D24" s="40" t="s">
        <v>185</v>
      </c>
      <c r="E24" s="22">
        <v>0</v>
      </c>
      <c r="F24" s="31"/>
    </row>
    <row r="26" spans="1:6" ht="33" x14ac:dyDescent="0.25">
      <c r="A26" s="3" t="s">
        <v>197</v>
      </c>
    </row>
    <row r="27" spans="1:6" ht="85.5" x14ac:dyDescent="0.25">
      <c r="A27" s="4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Summary</vt:lpstr>
      <vt:lpstr>Cost by step</vt:lpstr>
      <vt:lpstr>Latency</vt:lpstr>
      <vt:lpstr>Document size</vt:lpstr>
      <vt:lpstr>Cost by project</vt:lpstr>
      <vt:lpstr>Failures</vt:lpstr>
      <vt:lpstr>Review outcomes</vt:lpstr>
      <vt:lpstr>Drawing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IKIO</cp:lastModifiedBy>
  <dcterms:created xsi:type="dcterms:W3CDTF">2026-08-27T18:26:35Z</dcterms:created>
  <dcterms:modified xsi:type="dcterms:W3CDTF">2026-08-27T18:27:14Z</dcterms:modified>
</cp:coreProperties>
</file>