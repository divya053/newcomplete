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KIO\Downloads\New\Preckon-system\deliverables\"/>
    </mc:Choice>
  </mc:AlternateContent>
  <xr:revisionPtr revIDLastSave="0" documentId="13_ncr:1_{DF9829B1-9E0A-45AE-A0C1-A9C562CFBDE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st summary" sheetId="1" r:id="rId1"/>
    <sheet name="Step by step" sheetId="2" r:id="rId2"/>
    <sheet name="Project by project" sheetId="3" r:id="rId3"/>
    <sheet name="Scaling" sheetId="4" r:id="rId4"/>
    <sheet name="Step x project" sheetId="5" r:id="rId5"/>
  </sheets>
  <definedNames>
    <definedName name="_xlnm._FilterDatabase" localSheetId="1" hidden="1">'Step by step'!$A$1:$M$18</definedName>
  </definedNames>
  <calcPr calcId="191029"/>
</workbook>
</file>

<file path=xl/calcChain.xml><?xml version="1.0" encoding="utf-8"?>
<calcChain xmlns="http://schemas.openxmlformats.org/spreadsheetml/2006/main">
  <c r="C13" i="4" l="1"/>
  <c r="B13" i="4"/>
  <c r="C12" i="4"/>
  <c r="B12" i="4"/>
  <c r="C11" i="4"/>
  <c r="B11" i="4"/>
</calcChain>
</file>

<file path=xl/sharedStrings.xml><?xml version="1.0" encoding="utf-8"?>
<sst xmlns="http://schemas.openxmlformats.org/spreadsheetml/2006/main" count="137" uniqueCount="125">
  <si>
    <t>Token and cost breakdown</t>
  </si>
  <si>
    <t>Live system, 27 August 2026.  Six projects, 17 steps of the bid chain.</t>
  </si>
  <si>
    <t>AI requests made</t>
  </si>
  <si>
    <t>Across 14 active steps and 6 projects.</t>
  </si>
  <si>
    <t>Tokens in</t>
  </si>
  <si>
    <t>What we sent to the AI.</t>
  </si>
  <si>
    <t>Tokens out</t>
  </si>
  <si>
    <t>What the AI sent back.</t>
  </si>
  <si>
    <t>Total tokens</t>
  </si>
  <si>
    <t>Tokens in plus tokens out.</t>
  </si>
  <si>
    <t>Total cost</t>
  </si>
  <si>
    <t>For all six projects, all steps, to date.</t>
  </si>
  <si>
    <t>Blended rate</t>
  </si>
  <si>
    <t>Per 1,000 tokens. Cost / tokens.</t>
  </si>
  <si>
    <t>Cost per request</t>
  </si>
  <si>
    <t>Average across every step.</t>
  </si>
  <si>
    <t>Cost per project</t>
  </si>
  <si>
    <t>Average across the six projects.</t>
  </si>
  <si>
    <t>How the cost is worked out</t>
  </si>
  <si>
    <t>Cost is tokens x a blended rate of $0.1290 per 1,000 tokens. Every figure on the two breakdown sheets reconciles to the totals above, and the step totals reconcile to the project totals — 26,040 tokens and $3.36 both ways.</t>
  </si>
  <si>
    <t>Read this before using the cost for planning</t>
  </si>
  <si>
    <t>Every successful request records the same fixed usage — 250 tokens in, 60 out — no matter what it was given. A 0.2 MB document and a 33 MB document both record 310 tokens. So the $3.36 is real arithmetic on a placeholder measurement, not real spend. The shape of the breakdown is right: the busiest steps really are the busiest. The absolute figures are not yet.</t>
  </si>
  <si>
    <t>Also note: 44 of the 88 requests were blocked by the data-privacy rule before reaching the AI, and cost nothing. Only 44 requests actually consumed tokens.</t>
  </si>
  <si>
    <t>#</t>
  </si>
  <si>
    <t>Step</t>
  </si>
  <si>
    <t>What happens</t>
  </si>
  <si>
    <t>Requests</t>
  </si>
  <si>
    <t>Blocked</t>
  </si>
  <si>
    <t>Errors</t>
  </si>
  <si>
    <t>Cost</t>
  </si>
  <si>
    <t>Cost / request</t>
  </si>
  <si>
    <t>% of cost</t>
  </si>
  <si>
    <t>Running cost</t>
  </si>
  <si>
    <t>Reading documents</t>
  </si>
  <si>
    <t>Sorts and splits the uploaded tender pack</t>
  </si>
  <si>
    <t>Tender reading</t>
  </si>
  <si>
    <t>Pulls the summary, dates and requirements</t>
  </si>
  <si>
    <t>Bid / no-bid decision</t>
  </si>
  <si>
    <t>Recommends whether to pursue the bid</t>
  </si>
  <si>
    <t>Specification reading</t>
  </si>
  <si>
    <t>Extracts clauses from the specification</t>
  </si>
  <si>
    <t>Drawing indexing</t>
  </si>
  <si>
    <t>Catalogues each drawing sheet  —  never ran</t>
  </si>
  <si>
    <t>Drawing take-off</t>
  </si>
  <si>
    <t>Measures quantities off the drawings  —  never ran</t>
  </si>
  <si>
    <t>Bill of quantities</t>
  </si>
  <si>
    <t>Turns measurements into bill lines</t>
  </si>
  <si>
    <t>Pricing</t>
  </si>
  <si>
    <t>Applies rates to the bill lines</t>
  </si>
  <si>
    <t>Compliance checks</t>
  </si>
  <si>
    <t>Checks the bid against tender requirements</t>
  </si>
  <si>
    <t>Risk assessment</t>
  </si>
  <si>
    <t>Flags risks on the bid</t>
  </si>
  <si>
    <t>Programme / schedule</t>
  </si>
  <si>
    <t>Builds the works programme</t>
  </si>
  <si>
    <t>Procurement packages</t>
  </si>
  <si>
    <t>Groups bill lines into buying packages</t>
  </si>
  <si>
    <t>Technical narrative</t>
  </si>
  <si>
    <t>Writes the technical submission  —  never ran</t>
  </si>
  <si>
    <t>Proposal writing</t>
  </si>
  <si>
    <t>Drafts the proposal document</t>
  </si>
  <si>
    <t>Bid approval pack</t>
  </si>
  <si>
    <t>Assembles what an approver signs off</t>
  </si>
  <si>
    <t>Client clarifications</t>
  </si>
  <si>
    <t>Drafts questions back to the client</t>
  </si>
  <si>
    <t>Copilot answers</t>
  </si>
  <si>
    <t>Answers questions people ask, any time</t>
  </si>
  <si>
    <t>TOTAL</t>
  </si>
  <si>
    <t>Reading this sheet</t>
  </si>
  <si>
    <t>Reading documents is 36% of all cost on its own — it runs once per uploaded file, so it scales with the size of the tender pack rather than with the number of bids. The three red rows never ran at all.</t>
  </si>
  <si>
    <t>"Blocked" requests cost nothing — they were refused by the data-privacy rule before reaching the AI. Cost per request is calculated over all requests including blocked ones, so the true cost per completed request is roughly double.</t>
  </si>
  <si>
    <t>Project by project</t>
  </si>
  <si>
    <t>Every AI request charged to the project that raised it.</t>
  </si>
  <si>
    <t>Project</t>
  </si>
  <si>
    <t>Note</t>
  </si>
  <si>
    <t>DV Quaters</t>
  </si>
  <si>
    <t>DV Quaters Demo</t>
  </si>
  <si>
    <t>venkat1</t>
  </si>
  <si>
    <t>Sowbelly Gulch Project</t>
  </si>
  <si>
    <t>Both system errors happened here — and it is the one carrying real drawings.</t>
  </si>
  <si>
    <t>venkat02</t>
  </si>
  <si>
    <t>Shruthi2</t>
  </si>
  <si>
    <t>What this says</t>
  </si>
  <si>
    <t>Four of the six are test or demo projects. Cost per request is almost identical across all six ($0.0400) — which is another way of seeing that usage is being recorded as a fixed number rather than measured. On real usage this column would vary with how big each project's documents are.</t>
  </si>
  <si>
    <t>What this scales to</t>
  </si>
  <si>
    <t>Straight arithmetic on the figures above. Change the yellow cells and the rest recalculates.</t>
  </si>
  <si>
    <t>Assumptions — edit these</t>
  </si>
  <si>
    <t>Cost per project, as measured</t>
  </si>
  <si>
    <t>Projects per year</t>
  </si>
  <si>
    <t>Uplift once usage is measured properly</t>
  </si>
  <si>
    <t>x</t>
  </si>
  <si>
    <t>Result</t>
  </si>
  <si>
    <t>Scenario</t>
  </si>
  <si>
    <t>Per project</t>
  </si>
  <si>
    <t>Per year</t>
  </si>
  <si>
    <t>What it assumes</t>
  </si>
  <si>
    <t>As measured today</t>
  </si>
  <si>
    <t>The placeholder usage figure, unchanged.</t>
  </si>
  <si>
    <t>With usage measured properly</t>
  </si>
  <si>
    <t>Assumes real documents use the uplift multiple above. This is a guess until the usage counter is fixed.</t>
  </si>
  <si>
    <t>If every blocked request also ran</t>
  </si>
  <si>
    <t>Half of all requests are currently refused by the privacy rule and cost nothing.</t>
  </si>
  <si>
    <t>The second and third rows are scenarios, not forecasts. Until the usage counter records what a request actually consumed, nobody can put a defensible number on what a real bid costs to run. That fix is small and it is issue 3 on the health report.</t>
  </si>
  <si>
    <t>Step by project — one more query</t>
  </si>
  <si>
    <t>This grid does not exist yet.</t>
  </si>
  <si>
    <t>The two breakdowns in this workbook come from two different queries — one grouped by step, one grouped by project. Neither returns the cross-tab, so a cell like "what did pricing cost on Sowbelly Gulch" cannot be filled in from what we have without inventing it.</t>
  </si>
  <si>
    <t>Run this on the VPS and send me the output — I will build the grid.</t>
  </si>
  <si>
    <t>cd /opt/preckon-tenant</t>
  </si>
  <si>
    <t>DBP=$(grep '^DATABASE_PASSWORD=' .env | cut -d= -f2-)</t>
  </si>
  <si>
    <t>Q() { docker compose exec -T db mysql -uroot -p"$DBP" preckon_tenant -e "$1"; }</t>
  </si>
  <si>
    <t>Q "</t>
  </si>
  <si>
    <t>SELECT p.name                              AS project,</t>
  </si>
  <si>
    <t xml:space="preserve">       u.module,</t>
  </si>
  <si>
    <t xml:space="preserve">       u.task_type,</t>
  </si>
  <si>
    <t xml:space="preserve">       COUNT(*)                            AS calls,</t>
  </si>
  <si>
    <t xml:space="preserve">       SUM(u.input_tokens)                 AS tokens_in,</t>
  </si>
  <si>
    <t xml:space="preserve">       SUM(u.output_tokens)                AS tokens_out,</t>
  </si>
  <si>
    <t xml:space="preserve">       SUM(u.input_tokens+u.output_tokens) AS tokens_total,</t>
  </si>
  <si>
    <t xml:space="preserve">       ROUND(SUM(u.cost_minor)/100, 2)     AS cost,</t>
  </si>
  <si>
    <t xml:space="preserve">       SUM(u.outcome&lt;&gt;'succeeded')         AS not_succeeded</t>
  </si>
  <si>
    <t xml:space="preserve">  FROM ai_usage_ledger u</t>
  </si>
  <si>
    <t xml:space="preserve">  JOIN project p ON p.id = u.project_id</t>
  </si>
  <si>
    <t xml:space="preserve"> GROUP BY p.name, u.module, u.task_type</t>
  </si>
  <si>
    <t xml:space="preserve"> ORDER BY p.name, cost DESC;" </t>
  </si>
  <si>
    <t>That returns every project x step combination with its own tokens and cost, which is what turns this workbook into a proper cost allocation.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</si>
</sst>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00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20"/>
      <color rgb="FF13262E"/>
      <name val="Calibri"/>
    </font>
    <font>
      <sz val="12"/>
      <color rgb="FF4B646E"/>
      <name val="Calibri"/>
    </font>
    <font>
      <sz val="11"/>
      <color rgb="FF13262E"/>
      <name val="Calibri"/>
    </font>
    <font>
      <b/>
      <sz val="24"/>
      <color rgb="FF13262E"/>
      <name val="Calibri"/>
    </font>
    <font>
      <sz val="10.5"/>
      <color rgb="FF4B646E"/>
      <name val="Calibri"/>
    </font>
    <font>
      <b/>
      <sz val="13"/>
      <color rgb="FF0B5E52"/>
      <name val="Calibri"/>
    </font>
    <font>
      <b/>
      <sz val="13"/>
      <color rgb="FFA32A20"/>
      <name val="Calibri"/>
    </font>
    <font>
      <b/>
      <sz val="11"/>
      <color rgb="FFFFFFFF"/>
      <name val="Calibri"/>
    </font>
    <font>
      <b/>
      <sz val="11"/>
      <color rgb="FF13262E"/>
      <name val="Calibri"/>
    </font>
    <font>
      <sz val="10"/>
      <color rgb="FF13262E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FBEBE9"/>
      </patternFill>
    </fill>
    <fill>
      <patternFill patternType="solid">
        <fgColor rgb="FF0B5E52"/>
      </patternFill>
    </fill>
    <fill>
      <patternFill patternType="solid">
        <fgColor rgb="FFF2F7F6"/>
      </patternFill>
    </fill>
    <fill>
      <patternFill patternType="solid">
        <fgColor rgb="FFFDF3E3"/>
      </patternFill>
    </fill>
    <fill>
      <patternFill patternType="solid">
        <fgColor rgb="FFFFF3C4"/>
      </patternFill>
    </fill>
    <fill>
      <patternFill patternType="solid">
        <fgColor rgb="FFF6F9F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B5E52"/>
      </bottom>
      <diagonal/>
    </border>
    <border>
      <left/>
      <right/>
      <top/>
      <bottom style="thin">
        <color rgb="FFDCE5E5"/>
      </bottom>
      <diagonal/>
    </border>
    <border>
      <left/>
      <right/>
      <top style="medium">
        <color rgb="FF0B5E52"/>
      </top>
      <bottom/>
      <diagonal/>
    </border>
    <border>
      <left style="thin">
        <color rgb="FFDCE5E5"/>
      </left>
      <right style="thin">
        <color rgb="FFDCE5E5"/>
      </right>
      <top style="thin">
        <color rgb="FFDCE5E5"/>
      </top>
      <bottom style="thin">
        <color rgb="FFDCE5E5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1" xfId="0" applyBorder="1"/>
    <xf numFmtId="0" fontId="3" fillId="0" borderId="2" xfId="0" applyFont="1" applyBorder="1"/>
    <xf numFmtId="3" fontId="4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3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3" fillId="0" borderId="0" xfId="0" applyFont="1"/>
    <xf numFmtId="165" fontId="9" fillId="6" borderId="4" xfId="0" applyNumberFormat="1" applyFont="1" applyFill="1" applyBorder="1" applyAlignment="1">
      <alignment horizontal="center" vertical="center"/>
    </xf>
    <xf numFmtId="0" fontId="5" fillId="0" borderId="0" xfId="0" applyFont="1"/>
    <xf numFmtId="3" fontId="9" fillId="6" borderId="4" xfId="0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0" fillId="0" borderId="2" xfId="0" applyBorder="1"/>
    <xf numFmtId="0" fontId="9" fillId="0" borderId="0" xfId="0" applyFont="1" applyAlignment="1">
      <alignment vertical="top" wrapText="1"/>
    </xf>
    <xf numFmtId="0" fontId="10" fillId="7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0" fillId="0" borderId="0" xfId="0"/>
    <xf numFmtId="0" fontId="3" fillId="2" borderId="0" xfId="0" applyFont="1" applyFill="1" applyAlignment="1">
      <alignment vertical="top" wrapText="1"/>
    </xf>
    <xf numFmtId="0" fontId="0" fillId="2" borderId="0" xfId="0" applyFill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1"/>
  <sheetViews>
    <sheetView showGridLines="0" workbookViewId="0">
      <selection activeCell="B22" sqref="B22"/>
    </sheetView>
  </sheetViews>
  <sheetFormatPr defaultRowHeight="15" x14ac:dyDescent="0.25"/>
  <cols>
    <col min="1" max="1" width="2" customWidth="1"/>
    <col min="2" max="2" width="32" customWidth="1"/>
    <col min="3" max="3" width="18" customWidth="1"/>
    <col min="4" max="4" width="62" customWidth="1"/>
  </cols>
  <sheetData>
    <row r="2" spans="2:4" ht="26.1" customHeight="1" x14ac:dyDescent="0.25">
      <c r="B2" s="1" t="s">
        <v>0</v>
      </c>
    </row>
    <row r="3" spans="2:4" ht="47.25" x14ac:dyDescent="0.25">
      <c r="B3" s="2" t="s">
        <v>1</v>
      </c>
    </row>
    <row r="5" spans="2:4" ht="6" customHeight="1" x14ac:dyDescent="0.25">
      <c r="B5" s="3"/>
      <c r="C5" s="3"/>
      <c r="D5" s="3"/>
    </row>
    <row r="6" spans="2:4" ht="30" customHeight="1" x14ac:dyDescent="0.25">
      <c r="B6" s="4" t="s">
        <v>2</v>
      </c>
      <c r="C6" s="5">
        <v>88</v>
      </c>
      <c r="D6" s="6" t="s">
        <v>3</v>
      </c>
    </row>
    <row r="7" spans="2:4" ht="30" customHeight="1" x14ac:dyDescent="0.25">
      <c r="B7" s="4" t="s">
        <v>4</v>
      </c>
      <c r="C7" s="5">
        <v>21000</v>
      </c>
      <c r="D7" s="6" t="s">
        <v>5</v>
      </c>
    </row>
    <row r="8" spans="2:4" ht="30" customHeight="1" x14ac:dyDescent="0.25">
      <c r="B8" s="4" t="s">
        <v>6</v>
      </c>
      <c r="C8" s="5">
        <v>5040</v>
      </c>
      <c r="D8" s="6" t="s">
        <v>7</v>
      </c>
    </row>
    <row r="9" spans="2:4" ht="30" customHeight="1" x14ac:dyDescent="0.25">
      <c r="B9" s="4" t="s">
        <v>8</v>
      </c>
      <c r="C9" s="5">
        <v>26040</v>
      </c>
      <c r="D9" s="6" t="s">
        <v>9</v>
      </c>
    </row>
    <row r="10" spans="2:4" ht="30" customHeight="1" x14ac:dyDescent="0.25">
      <c r="B10" s="4" t="s">
        <v>10</v>
      </c>
      <c r="C10" s="7">
        <v>3.36</v>
      </c>
      <c r="D10" s="6" t="s">
        <v>11</v>
      </c>
    </row>
    <row r="11" spans="2:4" ht="30" customHeight="1" x14ac:dyDescent="0.25">
      <c r="B11" s="4" t="s">
        <v>12</v>
      </c>
      <c r="C11" s="8">
        <v>0.1290322580645161</v>
      </c>
      <c r="D11" s="6" t="s">
        <v>13</v>
      </c>
    </row>
    <row r="12" spans="2:4" ht="30" customHeight="1" x14ac:dyDescent="0.25">
      <c r="B12" s="4" t="s">
        <v>14</v>
      </c>
      <c r="C12" s="8">
        <v>3.8181818181818178E-2</v>
      </c>
      <c r="D12" s="6" t="s">
        <v>15</v>
      </c>
    </row>
    <row r="13" spans="2:4" ht="30" customHeight="1" x14ac:dyDescent="0.25">
      <c r="B13" s="4" t="s">
        <v>16</v>
      </c>
      <c r="C13" s="8">
        <v>0.55999999999999994</v>
      </c>
      <c r="D13" s="6" t="s">
        <v>17</v>
      </c>
    </row>
    <row r="15" spans="2:4" ht="17.25" x14ac:dyDescent="0.25">
      <c r="B15" s="9" t="s">
        <v>18</v>
      </c>
    </row>
    <row r="16" spans="2:4" ht="33.950000000000003" customHeight="1" x14ac:dyDescent="0.25">
      <c r="B16" s="59" t="s">
        <v>19</v>
      </c>
      <c r="C16" s="56"/>
      <c r="D16" s="56"/>
    </row>
    <row r="18" spans="2:4" ht="34.5" x14ac:dyDescent="0.25">
      <c r="B18" s="11" t="s">
        <v>20</v>
      </c>
    </row>
    <row r="19" spans="2:4" ht="50.1" customHeight="1" x14ac:dyDescent="0.25">
      <c r="B19" s="57" t="s">
        <v>21</v>
      </c>
      <c r="C19" s="58"/>
      <c r="D19" s="58"/>
    </row>
    <row r="21" spans="2:4" ht="32.1" customHeight="1" x14ac:dyDescent="0.25">
      <c r="B21" s="55" t="s">
        <v>22</v>
      </c>
      <c r="C21" s="56"/>
      <c r="D21" s="56"/>
    </row>
  </sheetData>
  <mergeCells count="3">
    <mergeCell ref="B21:D21"/>
    <mergeCell ref="B19:D19"/>
    <mergeCell ref="B16:D16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7A5E"/>
    <pageSetUpPr fitToPage="1"/>
  </sheetPr>
  <dimension ref="A1:M23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33.140625" customWidth="1"/>
    <col min="2" max="2" width="24" customWidth="1"/>
    <col min="3" max="3" width="40" customWidth="1"/>
    <col min="4" max="5" width="10" customWidth="1"/>
    <col min="6" max="6" width="8" customWidth="1"/>
    <col min="7" max="8" width="12" customWidth="1"/>
    <col min="9" max="9" width="13" customWidth="1"/>
    <col min="10" max="10" width="12" customWidth="1"/>
    <col min="11" max="11" width="13" customWidth="1"/>
    <col min="12" max="12" width="11" customWidth="1"/>
    <col min="13" max="13" width="13" customWidth="1"/>
  </cols>
  <sheetData>
    <row r="1" spans="1:13" ht="32.1" customHeight="1" x14ac:dyDescent="0.25">
      <c r="A1" s="12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4</v>
      </c>
      <c r="H1" s="13" t="s">
        <v>6</v>
      </c>
      <c r="I1" s="13" t="s">
        <v>8</v>
      </c>
      <c r="J1" s="13" t="s">
        <v>29</v>
      </c>
      <c r="K1" s="13" t="s">
        <v>30</v>
      </c>
      <c r="L1" s="13" t="s">
        <v>31</v>
      </c>
      <c r="M1" s="13" t="s">
        <v>32</v>
      </c>
    </row>
    <row r="2" spans="1:13" ht="21.95" customHeight="1" x14ac:dyDescent="0.25">
      <c r="A2" s="14">
        <v>1</v>
      </c>
      <c r="B2" s="15" t="s">
        <v>33</v>
      </c>
      <c r="C2" s="16" t="s">
        <v>34</v>
      </c>
      <c r="D2" s="17">
        <v>30</v>
      </c>
      <c r="E2" s="17">
        <v>15</v>
      </c>
      <c r="F2" s="17">
        <v>0</v>
      </c>
      <c r="G2" s="17">
        <v>7500</v>
      </c>
      <c r="H2" s="17">
        <v>1800</v>
      </c>
      <c r="I2" s="17">
        <v>9300</v>
      </c>
      <c r="J2" s="18">
        <v>1.2</v>
      </c>
      <c r="K2" s="19">
        <v>0.04</v>
      </c>
      <c r="L2" s="20">
        <v>0.35714285714285721</v>
      </c>
      <c r="M2" s="18">
        <v>1.2</v>
      </c>
    </row>
    <row r="3" spans="1:13" ht="21.95" customHeight="1" x14ac:dyDescent="0.25">
      <c r="A3" s="21">
        <v>2</v>
      </c>
      <c r="B3" s="22" t="s">
        <v>35</v>
      </c>
      <c r="C3" s="23" t="s">
        <v>36</v>
      </c>
      <c r="D3" s="24">
        <v>6</v>
      </c>
      <c r="E3" s="24">
        <v>3</v>
      </c>
      <c r="F3" s="24">
        <v>0</v>
      </c>
      <c r="G3" s="24">
        <v>1500</v>
      </c>
      <c r="H3" s="24">
        <v>360</v>
      </c>
      <c r="I3" s="24">
        <v>1860</v>
      </c>
      <c r="J3" s="25">
        <v>0.24</v>
      </c>
      <c r="K3" s="26">
        <v>0.04</v>
      </c>
      <c r="L3" s="27">
        <v>7.1428571428571425E-2</v>
      </c>
      <c r="M3" s="25">
        <v>1.44</v>
      </c>
    </row>
    <row r="4" spans="1:13" ht="21.95" customHeight="1" x14ac:dyDescent="0.25">
      <c r="A4" s="14">
        <v>3</v>
      </c>
      <c r="B4" s="15" t="s">
        <v>37</v>
      </c>
      <c r="C4" s="16" t="s">
        <v>38</v>
      </c>
      <c r="D4" s="17">
        <v>2</v>
      </c>
      <c r="E4" s="17">
        <v>1</v>
      </c>
      <c r="F4" s="17">
        <v>0</v>
      </c>
      <c r="G4" s="17">
        <v>500</v>
      </c>
      <c r="H4" s="17">
        <v>120</v>
      </c>
      <c r="I4" s="17">
        <v>620</v>
      </c>
      <c r="J4" s="18">
        <v>0.08</v>
      </c>
      <c r="K4" s="19">
        <v>0.04</v>
      </c>
      <c r="L4" s="20">
        <v>2.3809523809523812E-2</v>
      </c>
      <c r="M4" s="18">
        <v>1.52</v>
      </c>
    </row>
    <row r="5" spans="1:13" ht="21.95" customHeight="1" x14ac:dyDescent="0.25">
      <c r="A5" s="21">
        <v>4</v>
      </c>
      <c r="B5" s="22" t="s">
        <v>39</v>
      </c>
      <c r="C5" s="23" t="s">
        <v>40</v>
      </c>
      <c r="D5" s="24">
        <v>2</v>
      </c>
      <c r="E5" s="24">
        <v>1</v>
      </c>
      <c r="F5" s="24">
        <v>0</v>
      </c>
      <c r="G5" s="24">
        <v>500</v>
      </c>
      <c r="H5" s="24">
        <v>120</v>
      </c>
      <c r="I5" s="24">
        <v>620</v>
      </c>
      <c r="J5" s="25">
        <v>0.08</v>
      </c>
      <c r="K5" s="26">
        <v>0.04</v>
      </c>
      <c r="L5" s="27">
        <v>2.3809523809523812E-2</v>
      </c>
      <c r="M5" s="25">
        <v>1.6</v>
      </c>
    </row>
    <row r="6" spans="1:13" ht="21.95" customHeight="1" x14ac:dyDescent="0.25">
      <c r="A6" s="28">
        <v>5</v>
      </c>
      <c r="B6" s="29" t="s">
        <v>41</v>
      </c>
      <c r="C6" s="30" t="s">
        <v>42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2">
        <v>0</v>
      </c>
      <c r="K6" s="33">
        <v>0</v>
      </c>
      <c r="L6" s="34">
        <v>0</v>
      </c>
      <c r="M6" s="32">
        <v>1.6</v>
      </c>
    </row>
    <row r="7" spans="1:13" ht="21.95" customHeight="1" x14ac:dyDescent="0.25">
      <c r="A7" s="28">
        <v>6</v>
      </c>
      <c r="B7" s="29" t="s">
        <v>43</v>
      </c>
      <c r="C7" s="30" t="s">
        <v>44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2">
        <v>0</v>
      </c>
      <c r="K7" s="33">
        <v>0</v>
      </c>
      <c r="L7" s="34">
        <v>0</v>
      </c>
      <c r="M7" s="32">
        <v>1.6</v>
      </c>
    </row>
    <row r="8" spans="1:13" ht="21.95" customHeight="1" x14ac:dyDescent="0.25">
      <c r="A8" s="14">
        <v>7</v>
      </c>
      <c r="B8" s="15" t="s">
        <v>45</v>
      </c>
      <c r="C8" s="16" t="s">
        <v>46</v>
      </c>
      <c r="D8" s="17">
        <v>6</v>
      </c>
      <c r="E8" s="17">
        <v>3</v>
      </c>
      <c r="F8" s="17">
        <v>0</v>
      </c>
      <c r="G8" s="17">
        <v>1500</v>
      </c>
      <c r="H8" s="17">
        <v>360</v>
      </c>
      <c r="I8" s="17">
        <v>1860</v>
      </c>
      <c r="J8" s="18">
        <v>0.24</v>
      </c>
      <c r="K8" s="19">
        <v>0.04</v>
      </c>
      <c r="L8" s="20">
        <v>7.1428571428571425E-2</v>
      </c>
      <c r="M8" s="18">
        <v>1.84</v>
      </c>
    </row>
    <row r="9" spans="1:13" ht="21.95" customHeight="1" x14ac:dyDescent="0.25">
      <c r="A9" s="21">
        <v>8</v>
      </c>
      <c r="B9" s="22" t="s">
        <v>47</v>
      </c>
      <c r="C9" s="23" t="s">
        <v>48</v>
      </c>
      <c r="D9" s="24">
        <v>4</v>
      </c>
      <c r="E9" s="24">
        <v>2</v>
      </c>
      <c r="F9" s="24">
        <v>1</v>
      </c>
      <c r="G9" s="24">
        <v>500</v>
      </c>
      <c r="H9" s="24">
        <v>120</v>
      </c>
      <c r="I9" s="24">
        <v>620</v>
      </c>
      <c r="J9" s="25">
        <v>0.08</v>
      </c>
      <c r="K9" s="26">
        <v>0.02</v>
      </c>
      <c r="L9" s="27">
        <v>2.3809523809523812E-2</v>
      </c>
      <c r="M9" s="25">
        <v>1.92</v>
      </c>
    </row>
    <row r="10" spans="1:13" ht="21.95" customHeight="1" x14ac:dyDescent="0.25">
      <c r="A10" s="14">
        <v>9</v>
      </c>
      <c r="B10" s="15" t="s">
        <v>49</v>
      </c>
      <c r="C10" s="16" t="s">
        <v>50</v>
      </c>
      <c r="D10" s="17">
        <v>6</v>
      </c>
      <c r="E10" s="17">
        <v>3</v>
      </c>
      <c r="F10" s="17">
        <v>0</v>
      </c>
      <c r="G10" s="17">
        <v>1500</v>
      </c>
      <c r="H10" s="17">
        <v>360</v>
      </c>
      <c r="I10" s="17">
        <v>1860</v>
      </c>
      <c r="J10" s="18">
        <v>0.24</v>
      </c>
      <c r="K10" s="19">
        <v>0.04</v>
      </c>
      <c r="L10" s="20">
        <v>7.1428571428571425E-2</v>
      </c>
      <c r="M10" s="18">
        <v>2.16</v>
      </c>
    </row>
    <row r="11" spans="1:13" ht="21.95" customHeight="1" x14ac:dyDescent="0.25">
      <c r="A11" s="21">
        <v>10</v>
      </c>
      <c r="B11" s="22" t="s">
        <v>51</v>
      </c>
      <c r="C11" s="23" t="s">
        <v>52</v>
      </c>
      <c r="D11" s="24">
        <v>4</v>
      </c>
      <c r="E11" s="24">
        <v>2</v>
      </c>
      <c r="F11" s="24">
        <v>0</v>
      </c>
      <c r="G11" s="24">
        <v>1000</v>
      </c>
      <c r="H11" s="24">
        <v>240</v>
      </c>
      <c r="I11" s="24">
        <v>1240</v>
      </c>
      <c r="J11" s="25">
        <v>0.16</v>
      </c>
      <c r="K11" s="26">
        <v>0.04</v>
      </c>
      <c r="L11" s="27">
        <v>4.7619047619047623E-2</v>
      </c>
      <c r="M11" s="25">
        <v>2.3199999999999998</v>
      </c>
    </row>
    <row r="12" spans="1:13" ht="21.95" customHeight="1" x14ac:dyDescent="0.25">
      <c r="A12" s="14">
        <v>11</v>
      </c>
      <c r="B12" s="15" t="s">
        <v>53</v>
      </c>
      <c r="C12" s="16" t="s">
        <v>54</v>
      </c>
      <c r="D12" s="17">
        <v>2</v>
      </c>
      <c r="E12" s="17">
        <v>1</v>
      </c>
      <c r="F12" s="17">
        <v>0</v>
      </c>
      <c r="G12" s="17">
        <v>500</v>
      </c>
      <c r="H12" s="17">
        <v>120</v>
      </c>
      <c r="I12" s="17">
        <v>620</v>
      </c>
      <c r="J12" s="18">
        <v>0.08</v>
      </c>
      <c r="K12" s="19">
        <v>0.04</v>
      </c>
      <c r="L12" s="20">
        <v>2.3809523809523812E-2</v>
      </c>
      <c r="M12" s="18">
        <v>2.4</v>
      </c>
    </row>
    <row r="13" spans="1:13" ht="21.95" customHeight="1" x14ac:dyDescent="0.25">
      <c r="A13" s="21">
        <v>12</v>
      </c>
      <c r="B13" s="22" t="s">
        <v>55</v>
      </c>
      <c r="C13" s="23" t="s">
        <v>56</v>
      </c>
      <c r="D13" s="24">
        <v>2</v>
      </c>
      <c r="E13" s="24">
        <v>1</v>
      </c>
      <c r="F13" s="24">
        <v>1</v>
      </c>
      <c r="G13" s="24">
        <v>0</v>
      </c>
      <c r="H13" s="24">
        <v>0</v>
      </c>
      <c r="I13" s="24">
        <v>0</v>
      </c>
      <c r="J13" s="25">
        <v>0</v>
      </c>
      <c r="K13" s="26">
        <v>0</v>
      </c>
      <c r="L13" s="27">
        <v>0</v>
      </c>
      <c r="M13" s="25">
        <v>2.4</v>
      </c>
    </row>
    <row r="14" spans="1:13" ht="21.95" customHeight="1" x14ac:dyDescent="0.25">
      <c r="A14" s="28">
        <v>13</v>
      </c>
      <c r="B14" s="29" t="s">
        <v>57</v>
      </c>
      <c r="C14" s="30" t="s">
        <v>58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2">
        <v>0</v>
      </c>
      <c r="K14" s="33">
        <v>0</v>
      </c>
      <c r="L14" s="34">
        <v>0</v>
      </c>
      <c r="M14" s="32">
        <v>2.4</v>
      </c>
    </row>
    <row r="15" spans="1:13" ht="21.95" customHeight="1" x14ac:dyDescent="0.25">
      <c r="A15" s="21">
        <v>14</v>
      </c>
      <c r="B15" s="22" t="s">
        <v>59</v>
      </c>
      <c r="C15" s="23" t="s">
        <v>60</v>
      </c>
      <c r="D15" s="24">
        <v>6</v>
      </c>
      <c r="E15" s="24">
        <v>3</v>
      </c>
      <c r="F15" s="24">
        <v>0</v>
      </c>
      <c r="G15" s="24">
        <v>1500</v>
      </c>
      <c r="H15" s="24">
        <v>360</v>
      </c>
      <c r="I15" s="24">
        <v>1860</v>
      </c>
      <c r="J15" s="25">
        <v>0.24</v>
      </c>
      <c r="K15" s="26">
        <v>0.04</v>
      </c>
      <c r="L15" s="27">
        <v>7.1428571428571425E-2</v>
      </c>
      <c r="M15" s="25">
        <v>2.640000000000001</v>
      </c>
    </row>
    <row r="16" spans="1:13" ht="21.95" customHeight="1" x14ac:dyDescent="0.25">
      <c r="A16" s="14">
        <v>15</v>
      </c>
      <c r="B16" s="15" t="s">
        <v>61</v>
      </c>
      <c r="C16" s="16" t="s">
        <v>62</v>
      </c>
      <c r="D16" s="17">
        <v>6</v>
      </c>
      <c r="E16" s="17">
        <v>3</v>
      </c>
      <c r="F16" s="17">
        <v>0</v>
      </c>
      <c r="G16" s="17">
        <v>1500</v>
      </c>
      <c r="H16" s="17">
        <v>360</v>
      </c>
      <c r="I16" s="17">
        <v>1860</v>
      </c>
      <c r="J16" s="18">
        <v>0.24</v>
      </c>
      <c r="K16" s="19">
        <v>0.04</v>
      </c>
      <c r="L16" s="20">
        <v>7.1428571428571425E-2</v>
      </c>
      <c r="M16" s="18">
        <v>2.8800000000000008</v>
      </c>
    </row>
    <row r="17" spans="1:13" ht="21.95" customHeight="1" x14ac:dyDescent="0.25">
      <c r="A17" s="21">
        <v>16</v>
      </c>
      <c r="B17" s="22" t="s">
        <v>63</v>
      </c>
      <c r="C17" s="23" t="s">
        <v>64</v>
      </c>
      <c r="D17" s="24">
        <v>2</v>
      </c>
      <c r="E17" s="24">
        <v>1</v>
      </c>
      <c r="F17" s="24">
        <v>0</v>
      </c>
      <c r="G17" s="24">
        <v>500</v>
      </c>
      <c r="H17" s="24">
        <v>120</v>
      </c>
      <c r="I17" s="24">
        <v>620</v>
      </c>
      <c r="J17" s="25">
        <v>0.08</v>
      </c>
      <c r="K17" s="26">
        <v>0.04</v>
      </c>
      <c r="L17" s="27">
        <v>2.3809523809523812E-2</v>
      </c>
      <c r="M17" s="25">
        <v>2.9600000000000009</v>
      </c>
    </row>
    <row r="18" spans="1:13" ht="21.95" customHeight="1" x14ac:dyDescent="0.25">
      <c r="A18" s="14">
        <v>17</v>
      </c>
      <c r="B18" s="15" t="s">
        <v>65</v>
      </c>
      <c r="C18" s="16" t="s">
        <v>66</v>
      </c>
      <c r="D18" s="17">
        <v>10</v>
      </c>
      <c r="E18" s="17">
        <v>5</v>
      </c>
      <c r="F18" s="17">
        <v>0</v>
      </c>
      <c r="G18" s="17">
        <v>2500</v>
      </c>
      <c r="H18" s="17">
        <v>600</v>
      </c>
      <c r="I18" s="17">
        <v>3100</v>
      </c>
      <c r="J18" s="18">
        <v>0.4</v>
      </c>
      <c r="K18" s="19">
        <v>0.04</v>
      </c>
      <c r="L18" s="20">
        <v>0.1190476190476191</v>
      </c>
      <c r="M18" s="18">
        <v>3.3600000000000012</v>
      </c>
    </row>
    <row r="19" spans="1:13" x14ac:dyDescent="0.25">
      <c r="A19" s="35"/>
      <c r="B19" s="36" t="s">
        <v>67</v>
      </c>
      <c r="C19" s="36"/>
      <c r="D19" s="37">
        <v>88</v>
      </c>
      <c r="E19" s="37">
        <v>44</v>
      </c>
      <c r="F19" s="37">
        <v>2</v>
      </c>
      <c r="G19" s="37">
        <v>21000</v>
      </c>
      <c r="H19" s="37">
        <v>5040</v>
      </c>
      <c r="I19" s="37">
        <v>26040</v>
      </c>
      <c r="J19" s="38">
        <v>3.36</v>
      </c>
      <c r="K19" s="39">
        <v>3.8181818181818178E-2</v>
      </c>
      <c r="L19" s="40">
        <v>1</v>
      </c>
      <c r="M19" s="38">
        <v>3.36</v>
      </c>
    </row>
    <row r="21" spans="1:13" ht="103.5" x14ac:dyDescent="0.25">
      <c r="A21" s="9" t="s">
        <v>68</v>
      </c>
    </row>
    <row r="22" spans="1:13" ht="32.1" customHeight="1" x14ac:dyDescent="0.25">
      <c r="A22" s="59" t="s">
        <v>69</v>
      </c>
      <c r="B22" s="56"/>
      <c r="C22" s="56"/>
      <c r="D22" s="56"/>
      <c r="E22" s="56"/>
      <c r="F22" s="56"/>
      <c r="G22" s="56"/>
      <c r="H22" s="56"/>
    </row>
    <row r="23" spans="1:13" ht="32.1" customHeight="1" x14ac:dyDescent="0.25">
      <c r="A23" s="55" t="s">
        <v>70</v>
      </c>
      <c r="B23" s="56"/>
      <c r="C23" s="56"/>
      <c r="D23" s="56"/>
      <c r="E23" s="56"/>
      <c r="F23" s="56"/>
      <c r="G23" s="56"/>
      <c r="H23" s="56"/>
    </row>
  </sheetData>
  <autoFilter ref="A1:M18" xr:uid="{00000000-0009-0000-0000-000001000000}"/>
  <mergeCells count="2">
    <mergeCell ref="A22:H22"/>
    <mergeCell ref="A23:H23"/>
  </mergeCells>
  <conditionalFormatting sqref="I2:I18">
    <cfRule type="dataBar" priority="1">
      <dataBar>
        <cfvo type="num" val="0"/>
        <cfvo type="max"/>
        <color rgb="FF177A5E"/>
      </dataBar>
    </cfRule>
  </conditionalFormatting>
  <conditionalFormatting sqref="J2:J18">
    <cfRule type="dataBar" priority="2">
      <dataBar>
        <cfvo type="num" val="0"/>
        <cfvo type="max"/>
        <color rgb="FF0B5E52"/>
      </dataBar>
    </cfRule>
  </conditionalFormatting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E52"/>
    <pageSetUpPr fitToPage="1"/>
  </sheetPr>
  <dimension ref="A1:J14"/>
  <sheetViews>
    <sheetView showGridLines="0" workbookViewId="0">
      <pane ySplit="4" topLeftCell="A5" activePane="bottomLeft" state="frozen"/>
      <selection pane="bottomLeft" activeCell="A2" sqref="A2"/>
    </sheetView>
  </sheetViews>
  <sheetFormatPr defaultRowHeight="15" x14ac:dyDescent="0.25"/>
  <cols>
    <col min="1" max="1" width="30" customWidth="1"/>
    <col min="2" max="2" width="11" customWidth="1"/>
    <col min="3" max="4" width="13" customWidth="1"/>
    <col min="5" max="5" width="14" customWidth="1"/>
    <col min="6" max="6" width="11" customWidth="1"/>
    <col min="7" max="7" width="14" customWidth="1"/>
    <col min="8" max="8" width="12" customWidth="1"/>
    <col min="9" max="9" width="8" customWidth="1"/>
    <col min="10" max="10" width="40" customWidth="1"/>
  </cols>
  <sheetData>
    <row r="1" spans="1:10" ht="26.1" customHeight="1" x14ac:dyDescent="0.25">
      <c r="A1" s="1" t="s">
        <v>71</v>
      </c>
    </row>
    <row r="2" spans="1:10" ht="31.5" x14ac:dyDescent="0.25">
      <c r="A2" s="2" t="s">
        <v>72</v>
      </c>
    </row>
    <row r="4" spans="1:10" ht="32.1" customHeight="1" x14ac:dyDescent="0.25">
      <c r="A4" s="12" t="s">
        <v>73</v>
      </c>
      <c r="B4" s="13" t="s">
        <v>26</v>
      </c>
      <c r="C4" s="13" t="s">
        <v>4</v>
      </c>
      <c r="D4" s="13" t="s">
        <v>6</v>
      </c>
      <c r="E4" s="13" t="s">
        <v>8</v>
      </c>
      <c r="F4" s="13" t="s">
        <v>29</v>
      </c>
      <c r="G4" s="13" t="s">
        <v>30</v>
      </c>
      <c r="H4" s="13" t="s">
        <v>31</v>
      </c>
      <c r="I4" s="13" t="s">
        <v>28</v>
      </c>
      <c r="J4" s="13" t="s">
        <v>74</v>
      </c>
    </row>
    <row r="5" spans="1:10" ht="21.95" customHeight="1" x14ac:dyDescent="0.25">
      <c r="A5" s="15" t="s">
        <v>75</v>
      </c>
      <c r="B5" s="17">
        <v>22</v>
      </c>
      <c r="C5" s="17">
        <v>5500</v>
      </c>
      <c r="D5" s="17">
        <v>1320</v>
      </c>
      <c r="E5" s="17">
        <v>6820</v>
      </c>
      <c r="F5" s="18">
        <v>0.88</v>
      </c>
      <c r="G5" s="19">
        <v>0.04</v>
      </c>
      <c r="H5" s="20">
        <v>0.26190476190476192</v>
      </c>
      <c r="I5" s="17">
        <v>0</v>
      </c>
      <c r="J5" s="16"/>
    </row>
    <row r="6" spans="1:10" ht="21.95" customHeight="1" x14ac:dyDescent="0.25">
      <c r="A6" s="22" t="s">
        <v>76</v>
      </c>
      <c r="B6" s="24">
        <v>20</v>
      </c>
      <c r="C6" s="24">
        <v>5000</v>
      </c>
      <c r="D6" s="24">
        <v>1200</v>
      </c>
      <c r="E6" s="24">
        <v>6200</v>
      </c>
      <c r="F6" s="25">
        <v>0.8</v>
      </c>
      <c r="G6" s="26">
        <v>0.04</v>
      </c>
      <c r="H6" s="27">
        <v>0.23809523809523811</v>
      </c>
      <c r="I6" s="24">
        <v>0</v>
      </c>
      <c r="J6" s="23"/>
    </row>
    <row r="7" spans="1:10" ht="21.95" customHeight="1" x14ac:dyDescent="0.25">
      <c r="A7" s="15" t="s">
        <v>77</v>
      </c>
      <c r="B7" s="17">
        <v>18</v>
      </c>
      <c r="C7" s="17">
        <v>4500</v>
      </c>
      <c r="D7" s="17">
        <v>1080</v>
      </c>
      <c r="E7" s="17">
        <v>5580</v>
      </c>
      <c r="F7" s="18">
        <v>0.72</v>
      </c>
      <c r="G7" s="19">
        <v>0.04</v>
      </c>
      <c r="H7" s="20">
        <v>0.2142857142857143</v>
      </c>
      <c r="I7" s="17">
        <v>0</v>
      </c>
      <c r="J7" s="16"/>
    </row>
    <row r="8" spans="1:10" ht="21.95" customHeight="1" x14ac:dyDescent="0.25">
      <c r="A8" s="41" t="s">
        <v>78</v>
      </c>
      <c r="B8" s="42">
        <v>18</v>
      </c>
      <c r="C8" s="42">
        <v>3500</v>
      </c>
      <c r="D8" s="42">
        <v>840</v>
      </c>
      <c r="E8" s="42">
        <v>4340</v>
      </c>
      <c r="F8" s="43">
        <v>0.56000000000000005</v>
      </c>
      <c r="G8" s="44">
        <v>3.111111111111111E-2</v>
      </c>
      <c r="H8" s="45">
        <v>0.16666666666666671</v>
      </c>
      <c r="I8" s="42">
        <v>2</v>
      </c>
      <c r="J8" s="46" t="s">
        <v>79</v>
      </c>
    </row>
    <row r="9" spans="1:10" ht="21.95" customHeight="1" x14ac:dyDescent="0.25">
      <c r="A9" s="15" t="s">
        <v>80</v>
      </c>
      <c r="B9" s="17">
        <v>8</v>
      </c>
      <c r="C9" s="17">
        <v>2000</v>
      </c>
      <c r="D9" s="17">
        <v>480</v>
      </c>
      <c r="E9" s="17">
        <v>2480</v>
      </c>
      <c r="F9" s="18">
        <v>0.32</v>
      </c>
      <c r="G9" s="19">
        <v>0.04</v>
      </c>
      <c r="H9" s="20">
        <v>9.5238095238095247E-2</v>
      </c>
      <c r="I9" s="17">
        <v>0</v>
      </c>
      <c r="J9" s="16"/>
    </row>
    <row r="10" spans="1:10" ht="21.95" customHeight="1" x14ac:dyDescent="0.25">
      <c r="A10" s="22" t="s">
        <v>81</v>
      </c>
      <c r="B10" s="24">
        <v>2</v>
      </c>
      <c r="C10" s="24">
        <v>500</v>
      </c>
      <c r="D10" s="24">
        <v>120</v>
      </c>
      <c r="E10" s="24">
        <v>620</v>
      </c>
      <c r="F10" s="25">
        <v>0.08</v>
      </c>
      <c r="G10" s="26">
        <v>0.04</v>
      </c>
      <c r="H10" s="27">
        <v>2.3809523809523812E-2</v>
      </c>
      <c r="I10" s="24">
        <v>0</v>
      </c>
      <c r="J10" s="23"/>
    </row>
    <row r="11" spans="1:10" x14ac:dyDescent="0.25">
      <c r="A11" s="36" t="s">
        <v>67</v>
      </c>
      <c r="B11" s="37">
        <v>88</v>
      </c>
      <c r="C11" s="37">
        <v>21000</v>
      </c>
      <c r="D11" s="37">
        <v>5040</v>
      </c>
      <c r="E11" s="37">
        <v>26040</v>
      </c>
      <c r="F11" s="38">
        <v>3.36</v>
      </c>
      <c r="G11" s="39">
        <v>3.8181818181818178E-2</v>
      </c>
      <c r="H11" s="40">
        <v>1</v>
      </c>
      <c r="I11" s="37">
        <v>2</v>
      </c>
      <c r="J11" s="35"/>
    </row>
    <row r="13" spans="1:10" ht="17.25" x14ac:dyDescent="0.25">
      <c r="A13" s="9" t="s">
        <v>82</v>
      </c>
    </row>
    <row r="14" spans="1:10" ht="33.950000000000003" customHeight="1" x14ac:dyDescent="0.25">
      <c r="A14" s="59" t="s">
        <v>83</v>
      </c>
      <c r="B14" s="56"/>
      <c r="C14" s="56"/>
      <c r="D14" s="56"/>
      <c r="E14" s="56"/>
      <c r="F14" s="56"/>
      <c r="G14" s="56"/>
    </row>
  </sheetData>
  <mergeCells count="1">
    <mergeCell ref="A14:G14"/>
  </mergeCells>
  <conditionalFormatting sqref="F5:F10">
    <cfRule type="dataBar" priority="1">
      <dataBar>
        <cfvo type="num" val="0"/>
        <cfvo type="max"/>
        <color rgb="FF0B5E52"/>
      </dataBar>
    </cfRule>
  </conditionalFormatting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5A12"/>
    <pageSetUpPr fitToPage="1"/>
  </sheetPr>
  <dimension ref="A1:E15"/>
  <sheetViews>
    <sheetView showGridLines="0" workbookViewId="0">
      <selection activeCell="A6" sqref="A6"/>
    </sheetView>
  </sheetViews>
  <sheetFormatPr defaultRowHeight="15" x14ac:dyDescent="0.25"/>
  <cols>
    <col min="1" max="1" width="34" customWidth="1"/>
    <col min="2" max="4" width="16" customWidth="1"/>
    <col min="5" max="5" width="52" customWidth="1"/>
  </cols>
  <sheetData>
    <row r="1" spans="1:5" ht="26.1" customHeight="1" x14ac:dyDescent="0.25">
      <c r="A1" s="1" t="s">
        <v>84</v>
      </c>
    </row>
    <row r="2" spans="1:5" ht="47.25" x14ac:dyDescent="0.25">
      <c r="A2" s="2" t="s">
        <v>85</v>
      </c>
    </row>
    <row r="4" spans="1:5" ht="17.25" x14ac:dyDescent="0.25">
      <c r="A4" s="9" t="s">
        <v>86</v>
      </c>
    </row>
    <row r="5" spans="1:5" ht="21.95" customHeight="1" x14ac:dyDescent="0.25">
      <c r="A5" s="47" t="s">
        <v>87</v>
      </c>
      <c r="B5" s="48">
        <v>0.55999999999999994</v>
      </c>
      <c r="C5" s="49"/>
    </row>
    <row r="6" spans="1:5" ht="21.95" customHeight="1" x14ac:dyDescent="0.25">
      <c r="A6" s="47" t="s">
        <v>88</v>
      </c>
      <c r="B6" s="50">
        <v>40</v>
      </c>
      <c r="C6" s="49"/>
    </row>
    <row r="7" spans="1:5" ht="21.95" customHeight="1" x14ac:dyDescent="0.25">
      <c r="A7" s="47" t="s">
        <v>89</v>
      </c>
      <c r="B7" s="50">
        <v>10</v>
      </c>
      <c r="C7" s="49" t="s">
        <v>90</v>
      </c>
    </row>
    <row r="9" spans="1:5" ht="17.25" x14ac:dyDescent="0.25">
      <c r="A9" s="9" t="s">
        <v>91</v>
      </c>
    </row>
    <row r="10" spans="1:5" ht="32.1" customHeight="1" x14ac:dyDescent="0.25">
      <c r="A10" s="12" t="s">
        <v>92</v>
      </c>
      <c r="B10" s="13" t="s">
        <v>93</v>
      </c>
      <c r="C10" s="13" t="s">
        <v>94</v>
      </c>
      <c r="D10" s="13"/>
      <c r="E10" s="13" t="s">
        <v>95</v>
      </c>
    </row>
    <row r="11" spans="1:5" ht="33.950000000000003" customHeight="1" x14ac:dyDescent="0.25">
      <c r="A11" s="51" t="s">
        <v>96</v>
      </c>
      <c r="B11" s="18">
        <f>B5</f>
        <v>0.55999999999999994</v>
      </c>
      <c r="C11" s="18">
        <f>B5*B6</f>
        <v>22.4</v>
      </c>
      <c r="D11" s="52"/>
      <c r="E11" s="6" t="s">
        <v>97</v>
      </c>
    </row>
    <row r="12" spans="1:5" ht="33.950000000000003" customHeight="1" x14ac:dyDescent="0.25">
      <c r="A12" s="51" t="s">
        <v>98</v>
      </c>
      <c r="B12" s="18">
        <f>B5*B7</f>
        <v>5.6</v>
      </c>
      <c r="C12" s="18">
        <f>B5*B7*B6</f>
        <v>224</v>
      </c>
      <c r="D12" s="52"/>
      <c r="E12" s="6" t="s">
        <v>99</v>
      </c>
    </row>
    <row r="13" spans="1:5" ht="33.950000000000003" customHeight="1" x14ac:dyDescent="0.25">
      <c r="A13" s="51" t="s">
        <v>100</v>
      </c>
      <c r="B13" s="18">
        <f>B5*B7*2</f>
        <v>11.2</v>
      </c>
      <c r="C13" s="18">
        <f>B5*B7*2*B6</f>
        <v>448</v>
      </c>
      <c r="D13" s="52"/>
      <c r="E13" s="6" t="s">
        <v>101</v>
      </c>
    </row>
    <row r="15" spans="1:5" ht="39.950000000000003" customHeight="1" x14ac:dyDescent="0.25">
      <c r="A15" s="55" t="s">
        <v>102</v>
      </c>
      <c r="B15" s="56"/>
      <c r="C15" s="56"/>
      <c r="D15" s="56"/>
      <c r="E15" s="56"/>
    </row>
  </sheetData>
  <mergeCells count="1">
    <mergeCell ref="A15:E15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B26"/>
  <sheetViews>
    <sheetView showGridLines="0" tabSelected="1" workbookViewId="0"/>
  </sheetViews>
  <sheetFormatPr defaultRowHeight="15" x14ac:dyDescent="0.25"/>
  <cols>
    <col min="1" max="1" width="4" customWidth="1"/>
    <col min="2" max="2" width="112" customWidth="1"/>
  </cols>
  <sheetData>
    <row r="1" spans="2:2" ht="26.1" customHeight="1" x14ac:dyDescent="0.25">
      <c r="B1" s="1" t="s">
        <v>103</v>
      </c>
    </row>
    <row r="2" spans="2:2" ht="15.75" x14ac:dyDescent="0.25">
      <c r="B2" s="2" t="s">
        <v>104</v>
      </c>
    </row>
    <row r="4" spans="2:2" ht="48" customHeight="1" x14ac:dyDescent="0.25">
      <c r="B4" s="10" t="s">
        <v>105</v>
      </c>
    </row>
    <row r="5" spans="2:2" ht="21.95" customHeight="1" x14ac:dyDescent="0.25">
      <c r="B5" s="53" t="s">
        <v>106</v>
      </c>
    </row>
    <row r="7" spans="2:2" ht="15" customHeight="1" x14ac:dyDescent="0.25">
      <c r="B7" s="54" t="s">
        <v>107</v>
      </c>
    </row>
    <row r="8" spans="2:2" ht="15" customHeight="1" x14ac:dyDescent="0.25">
      <c r="B8" s="54" t="s">
        <v>108</v>
      </c>
    </row>
    <row r="9" spans="2:2" ht="15" customHeight="1" x14ac:dyDescent="0.25">
      <c r="B9" s="54" t="s">
        <v>109</v>
      </c>
    </row>
    <row r="10" spans="2:2" ht="15" customHeight="1" x14ac:dyDescent="0.25">
      <c r="B10" s="54"/>
    </row>
    <row r="11" spans="2:2" ht="15" customHeight="1" x14ac:dyDescent="0.25">
      <c r="B11" s="54" t="s">
        <v>110</v>
      </c>
    </row>
    <row r="12" spans="2:2" ht="15" customHeight="1" x14ac:dyDescent="0.25">
      <c r="B12" s="54" t="s">
        <v>111</v>
      </c>
    </row>
    <row r="13" spans="2:2" ht="15" customHeight="1" x14ac:dyDescent="0.25">
      <c r="B13" s="54" t="s">
        <v>112</v>
      </c>
    </row>
    <row r="14" spans="2:2" ht="15" customHeight="1" x14ac:dyDescent="0.25">
      <c r="B14" s="54" t="s">
        <v>113</v>
      </c>
    </row>
    <row r="15" spans="2:2" ht="15" customHeight="1" x14ac:dyDescent="0.25">
      <c r="B15" s="54" t="s">
        <v>114</v>
      </c>
    </row>
    <row r="16" spans="2:2" ht="15" customHeight="1" x14ac:dyDescent="0.25">
      <c r="B16" s="54" t="s">
        <v>115</v>
      </c>
    </row>
    <row r="17" spans="2:2" ht="15" customHeight="1" x14ac:dyDescent="0.25">
      <c r="B17" s="54" t="s">
        <v>116</v>
      </c>
    </row>
    <row r="18" spans="2:2" ht="15" customHeight="1" x14ac:dyDescent="0.25">
      <c r="B18" s="54" t="s">
        <v>117</v>
      </c>
    </row>
    <row r="19" spans="2:2" ht="15" customHeight="1" x14ac:dyDescent="0.25">
      <c r="B19" s="54" t="s">
        <v>118</v>
      </c>
    </row>
    <row r="20" spans="2:2" ht="15" customHeight="1" x14ac:dyDescent="0.25">
      <c r="B20" s="54" t="s">
        <v>119</v>
      </c>
    </row>
    <row r="21" spans="2:2" ht="15" customHeight="1" x14ac:dyDescent="0.25">
      <c r="B21" s="54" t="s">
        <v>120</v>
      </c>
    </row>
    <row r="22" spans="2:2" ht="15" customHeight="1" x14ac:dyDescent="0.25">
      <c r="B22" s="54" t="s">
        <v>121</v>
      </c>
    </row>
    <row r="23" spans="2:2" ht="15" customHeight="1" x14ac:dyDescent="0.25">
      <c r="B23" s="54" t="s">
        <v>122</v>
      </c>
    </row>
    <row r="24" spans="2:2" ht="15" customHeight="1" x14ac:dyDescent="0.25">
      <c r="B24" s="54" t="s">
        <v>123</v>
      </c>
    </row>
    <row r="26" spans="2:2" ht="32.1" customHeight="1" x14ac:dyDescent="0.25">
      <c r="B26" s="55" t="s">
        <v>124</v>
      </c>
    </row>
  </sheetData>
  <mergeCells count="1">
    <mergeCell ref="B26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 summary</vt:lpstr>
      <vt:lpstr>Step by step</vt:lpstr>
      <vt:lpstr>Project by project</vt:lpstr>
      <vt:lpstr>Scaling</vt:lpstr>
      <vt:lpstr>Step x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IKIO</cp:lastModifiedBy>
  <dcterms:created xsi:type="dcterms:W3CDTF">2026-08-27T18:45:01Z</dcterms:created>
  <dcterms:modified xsi:type="dcterms:W3CDTF">2026-08-27T19:04:03Z</dcterms:modified>
</cp:coreProperties>
</file>