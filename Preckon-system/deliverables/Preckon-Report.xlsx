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KIO\Downloads\New\Preckon-system\deliverables\"/>
    </mc:Choice>
  </mc:AlternateContent>
  <xr:revisionPtr revIDLastSave="0" documentId="13_ncr:1_{9ED07F27-B86B-4640-BC44-70F9F24979B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Cost" sheetId="2" r:id="rId2"/>
    <sheet name="Test plan" sheetId="3" r:id="rId3"/>
  </sheets>
  <definedNames>
    <definedName name="_xlnm._FilterDatabase" localSheetId="2" hidden="1">'Test plan'!$A$4:$I$98</definedName>
  </definedNames>
  <calcPr calcId="191029"/>
</workbook>
</file>

<file path=xl/calcChain.xml><?xml version="1.0" encoding="utf-8"?>
<calcChain xmlns="http://schemas.openxmlformats.org/spreadsheetml/2006/main">
  <c r="H2" i="3" l="1"/>
  <c r="I1" i="3"/>
  <c r="H1" i="3"/>
</calcChain>
</file>

<file path=xl/sharedStrings.xml><?xml version="1.0" encoding="utf-8"?>
<sst xmlns="http://schemas.openxmlformats.org/spreadsheetml/2006/main" count="546" uniqueCount="298">
  <si>
    <t>Preckon — where we are</t>
  </si>
  <si>
    <t>Live system, 27 August 2026.</t>
  </si>
  <si>
    <t>Projects run</t>
  </si>
  <si>
    <t>Jobs completed</t>
  </si>
  <si>
    <t>AI requests</t>
  </si>
  <si>
    <t>Blocked by privacy rule</t>
  </si>
  <si>
    <t>Half. Refused before reaching the AI.</t>
  </si>
  <si>
    <t>Tokens used</t>
  </si>
  <si>
    <t>Placeholder figure — see note below.</t>
  </si>
  <si>
    <t>Cost recorded</t>
  </si>
  <si>
    <t>Not real spend. Do not budget from it.</t>
  </si>
  <si>
    <t>Waiting for approval</t>
  </si>
  <si>
    <t>Work stops here.</t>
  </si>
  <si>
    <t>Approved</t>
  </si>
  <si>
    <t>Out of 1,367. None rejected either.</t>
  </si>
  <si>
    <t>System errors</t>
  </si>
  <si>
    <t>Three things to decide</t>
  </si>
  <si>
    <t>1.  Who owns the approval queue. 1,367 items are waiting on a person.</t>
  </si>
  <si>
    <t>2.  Whether ordinary tender documents can be sent to the AI. Half our requests are currently refused by our own privacy rule.</t>
  </si>
  <si>
    <t>3.  Sign-off on the test plan and its targets.</t>
  </si>
  <si>
    <t>Note on cost: every request records the same fixed usage regardless of the document — a 0.2 MB file and a 33 MB file both record 310 tokens. The breakdown is shaped correctly, but the dollar figures are not real yet.</t>
  </si>
  <si>
    <t>Tokens and cost</t>
  </si>
  <si>
    <t>Left: by step. Right: by project. Both total 26,040 tokens and $3.36.</t>
  </si>
  <si>
    <t>Step</t>
  </si>
  <si>
    <t>Requests</t>
  </si>
  <si>
    <t>Blocked</t>
  </si>
  <si>
    <t>Tokens</t>
  </si>
  <si>
    <t>Cost</t>
  </si>
  <si>
    <t>% of cost</t>
  </si>
  <si>
    <t>Project</t>
  </si>
  <si>
    <t>Reading documents</t>
  </si>
  <si>
    <t>DV Quaters</t>
  </si>
  <si>
    <t>Copilot answers</t>
  </si>
  <si>
    <t>DV Quaters Demo</t>
  </si>
  <si>
    <t>Tender reading</t>
  </si>
  <si>
    <t>venkat1</t>
  </si>
  <si>
    <t>Bill of quantities</t>
  </si>
  <si>
    <t>Sowbelly Gulch Project</t>
  </si>
  <si>
    <t>Compliance checks</t>
  </si>
  <si>
    <t>venkat02</t>
  </si>
  <si>
    <t>Proposal writing</t>
  </si>
  <si>
    <t>Shruthi2</t>
  </si>
  <si>
    <t>Bid approval pack</t>
  </si>
  <si>
    <t>TOTAL</t>
  </si>
  <si>
    <t>Risk assessment</t>
  </si>
  <si>
    <t>Pricing</t>
  </si>
  <si>
    <t>Rate: $0.129 per 1,000 tokens.  Blocked requests cost nothing, so the real cost per completed request is about double.</t>
  </si>
  <si>
    <t>Programme / schedule</t>
  </si>
  <si>
    <t>Specification reading</t>
  </si>
  <si>
    <t>Bid / no-bid decision</t>
  </si>
  <si>
    <t>Client clarifications</t>
  </si>
  <si>
    <t>Procurement packages</t>
  </si>
  <si>
    <t>Drawing take-off</t>
  </si>
  <si>
    <t>never ran</t>
  </si>
  <si>
    <t>Drawing indexing</t>
  </si>
  <si>
    <t>Technical narrative</t>
  </si>
  <si>
    <t>Test plan</t>
  </si>
  <si>
    <t>Pass</t>
  </si>
  <si>
    <t>94 tests. Filter by Type. Fill in the cream columns.</t>
  </si>
  <si>
    <t>Fail</t>
  </si>
  <si>
    <t>Type</t>
  </si>
  <si>
    <t>ID</t>
  </si>
  <si>
    <t>What to test</t>
  </si>
  <si>
    <t>Target</t>
  </si>
  <si>
    <t>Measured</t>
  </si>
  <si>
    <t>Result</t>
  </si>
  <si>
    <t>Tester</t>
  </si>
  <si>
    <t>Date</t>
  </si>
  <si>
    <t>Notes</t>
  </si>
  <si>
    <t>Functional</t>
  </si>
  <si>
    <t>TEN-01</t>
  </si>
  <si>
    <t>Upload a multi-file tender pack</t>
  </si>
  <si>
    <t>All files accepted and queued</t>
  </si>
  <si>
    <t>Not started</t>
  </si>
  <si>
    <t>TEN-02</t>
  </si>
  <si>
    <t>Tender summary after processing</t>
  </si>
  <si>
    <t>Client, ref, format, deadline populated</t>
  </si>
  <si>
    <t>TEN-03</t>
  </si>
  <si>
    <t>Requirement register</t>
  </si>
  <si>
    <t>Each requirement shows its source clause</t>
  </si>
  <si>
    <t>TEN-04</t>
  </si>
  <si>
    <t>Change the deadline by hand</t>
  </si>
  <si>
    <t>Saved and audited</t>
  </si>
  <si>
    <t>TEN-05</t>
  </si>
  <si>
    <t>Run bid qualification</t>
  </si>
  <si>
    <t>Recommendation with reasons</t>
  </si>
  <si>
    <t>DOC-01</t>
  </si>
  <si>
    <t>Upload 10 mixed documents</t>
  </si>
  <si>
    <t>All listed with type, revision, date</t>
  </si>
  <si>
    <t>DOC-02</t>
  </si>
  <si>
    <t>Upload a second revision</t>
  </si>
  <si>
    <t>Old kept, new marked current</t>
  </si>
  <si>
    <t>DOC-03</t>
  </si>
  <si>
    <t>Issue a transmittal</t>
  </si>
  <si>
    <t>Recorded with contents and recipients</t>
  </si>
  <si>
    <t>DOC-04</t>
  </si>
  <si>
    <t>Compare two revisions</t>
  </si>
  <si>
    <t>Differences listed</t>
  </si>
  <si>
    <t>DOC-05</t>
  </si>
  <si>
    <t>Search a phrase in a document</t>
  </si>
  <si>
    <t>Document returned with the passage</t>
  </si>
  <si>
    <t>DRW-01</t>
  </si>
  <si>
    <t>Upload a multi-sheet drawing PDF</t>
  </si>
  <si>
    <t>Each sheet listed with its number</t>
  </si>
  <si>
    <t>DRW-02</t>
  </si>
  <si>
    <t>Upload a DWG or DXF</t>
  </si>
  <si>
    <t>Layers and entities read; opens in viewer</t>
  </si>
  <si>
    <t>DRW-03</t>
  </si>
  <si>
    <t>Drawing index after processing</t>
  </si>
  <si>
    <t>Entity and layer counts populated</t>
  </si>
  <si>
    <t>DRW-04</t>
  </si>
  <si>
    <t>Run take-off on a known drawing</t>
  </si>
  <si>
    <t>Measurements name sheet and location</t>
  </si>
  <si>
    <t>DRW-05</t>
  </si>
  <si>
    <t>Click a measurement</t>
  </si>
  <si>
    <t>Drawing opens at that region</t>
  </si>
  <si>
    <t>DRW-06</t>
  </si>
  <si>
    <t>Ask BIM Studio for a floor plan</t>
  </si>
  <si>
    <t>All elements placed, not just one</t>
  </si>
  <si>
    <t>DRW-07</t>
  </si>
  <si>
    <t>Compare a revised drawing</t>
  </si>
  <si>
    <t>Changes highlighted</t>
  </si>
  <si>
    <t>QNT-01</t>
  </si>
  <si>
    <t>Generate a bill from measurements</t>
  </si>
  <si>
    <t>Lines grouped, units normalised</t>
  </si>
  <si>
    <t>QNT-02</t>
  </si>
  <si>
    <t>Press Trace on a bill line</t>
  </si>
  <si>
    <t>Measurement, sheet and layer shown</t>
  </si>
  <si>
    <t>QNT-03</t>
  </si>
  <si>
    <t>Change a confirmed measurement</t>
  </si>
  <si>
    <t>Downstream marked stale with re-run list</t>
  </si>
  <si>
    <t>QNT-04</t>
  </si>
  <si>
    <t>Compare to a supplied bill</t>
  </si>
  <si>
    <t>Differences listed line by line</t>
  </si>
  <si>
    <t>CST-01</t>
  </si>
  <si>
    <t>Price a bill from the rate library</t>
  </si>
  <si>
    <t>Every line priced, each rate sourced</t>
  </si>
  <si>
    <t>CST-02</t>
  </si>
  <si>
    <t>Override one rate</t>
  </si>
  <si>
    <t>Applied, original kept, audited</t>
  </si>
  <si>
    <t>CST-03</t>
  </si>
  <si>
    <t>Open the estimate</t>
  </si>
  <si>
    <t>Bill, overheads, contingency, total — adjustable</t>
  </si>
  <si>
    <t>CST-04</t>
  </si>
  <si>
    <t>Export the estimate</t>
  </si>
  <si>
    <t>Opens in Excel with header details</t>
  </si>
  <si>
    <t>SCH-01</t>
  </si>
  <si>
    <t>Build a programme from the bill</t>
  </si>
  <si>
    <t>Activities with durations and links</t>
  </si>
  <si>
    <t>SCH-02</t>
  </si>
  <si>
    <t>Check the critical path</t>
  </si>
  <si>
    <t>Critical activities drive the end date</t>
  </si>
  <si>
    <t>SCH-03</t>
  </si>
  <si>
    <t>Set a Gulf working week</t>
  </si>
  <si>
    <t>Durations recalculate</t>
  </si>
  <si>
    <t>SCH-04</t>
  </si>
  <si>
    <t>Move a baseline</t>
  </si>
  <si>
    <t>Unexplained move refused</t>
  </si>
  <si>
    <t>PRC-01</t>
  </si>
  <si>
    <t>Group bill lines into packages</t>
  </si>
  <si>
    <t>Packages with value, lines, lead time</t>
  </si>
  <si>
    <t>PRC-02</t>
  </si>
  <si>
    <t>Open a package</t>
  </si>
  <si>
    <t>Bill lines it covers are listed</t>
  </si>
  <si>
    <t>NAR-01</t>
  </si>
  <si>
    <t>Generate the technical narrative</t>
  </si>
  <si>
    <t>Draft from confirmed records only</t>
  </si>
  <si>
    <t>PLT-01</t>
  </si>
  <si>
    <t>Sign in as each role</t>
  </si>
  <si>
    <t>Correct workspace and permissions</t>
  </si>
  <si>
    <t>PLT-02</t>
  </si>
  <si>
    <t>Confirm one item, reject another</t>
  </si>
  <si>
    <t>Both recorded against your name</t>
  </si>
  <si>
    <t>PLT-03</t>
  </si>
  <si>
    <t>Sign in without confirm rights</t>
  </si>
  <si>
    <t>Button hidden and API refuses</t>
  </si>
  <si>
    <t>PLT-04</t>
  </si>
  <si>
    <t>Press Verify audit chain</t>
  </si>
  <si>
    <t>Chain reports clean</t>
  </si>
  <si>
    <t>PLT-05</t>
  </si>
  <si>
    <t>Open another tenant's project</t>
  </si>
  <si>
    <t>Refused, nothing returned</t>
  </si>
  <si>
    <t>PLT-06</t>
  </si>
  <si>
    <t>Switch to Arabic</t>
  </si>
  <si>
    <t>Full RTL, same records and permissions</t>
  </si>
  <si>
    <t>PLT-07</t>
  </si>
  <si>
    <t>Run a bid on autopilot</t>
  </si>
  <si>
    <t>Every stage advances, all audited</t>
  </si>
  <si>
    <t>PLT-08</t>
  </si>
  <si>
    <t>Process an unclassified document</t>
  </si>
  <si>
    <t>Clear refusal, not silence</t>
  </si>
  <si>
    <t>Document</t>
  </si>
  <si>
    <t>DOC-&lt;1</t>
  </si>
  <si>
    <t>Process a document of &lt; 0.5 MB — record seconds and tokens</t>
  </si>
  <si>
    <t>under 10 sec</t>
  </si>
  <si>
    <t>DOC-&lt;2</t>
  </si>
  <si>
    <t>DOC-&lt;3</t>
  </si>
  <si>
    <t>Process a document of 0.5 – 2 MB — record seconds and tokens</t>
  </si>
  <si>
    <t>under 30 sec</t>
  </si>
  <si>
    <t>DOC-21</t>
  </si>
  <si>
    <t>Process a document of 2 – 8 MB — record seconds and tokens</t>
  </si>
  <si>
    <t>under 90 sec</t>
  </si>
  <si>
    <t>DOC-22</t>
  </si>
  <si>
    <t>DOC-23</t>
  </si>
  <si>
    <t>DOC-81</t>
  </si>
  <si>
    <t>Process a document of 8 – 32 MB — record seconds and tokens</t>
  </si>
  <si>
    <t>under 300 sec</t>
  </si>
  <si>
    <t>DOC-82</t>
  </si>
  <si>
    <t>DOC-83</t>
  </si>
  <si>
    <t>DOC-31</t>
  </si>
  <si>
    <t>Process a document of 32 MB + — record seconds and tokens</t>
  </si>
  <si>
    <t>under 600 sec</t>
  </si>
  <si>
    <t>DOC-32</t>
  </si>
  <si>
    <t>DOC-33</t>
  </si>
  <si>
    <t>Drawing</t>
  </si>
  <si>
    <t>DRW-SIM1</t>
  </si>
  <si>
    <t>Process a simple drawing (1 sheet, 1 discipline, &lt;500 entities) — record seconds, entities, layers</t>
  </si>
  <si>
    <t>DRW-SIM2</t>
  </si>
  <si>
    <t>DRW-SIM3</t>
  </si>
  <si>
    <t>DRW-MED1</t>
  </si>
  <si>
    <t>Process a medium drawing (2–5 sheets, 500–5,000 entities) — record seconds, entities, layers</t>
  </si>
  <si>
    <t>under 120 sec</t>
  </si>
  <si>
    <t>DRW-MED2</t>
  </si>
  <si>
    <t>DRW-MED3</t>
  </si>
  <si>
    <t>DRW-COM1</t>
  </si>
  <si>
    <t>Process a complex drawing (6+ sheets, &gt;5,000 entities) — record seconds, entities, layers</t>
  </si>
  <si>
    <t>DRW-COM2</t>
  </si>
  <si>
    <t>DRW-COM3</t>
  </si>
  <si>
    <t>DRW-SCA1</t>
  </si>
  <si>
    <t>Process a scanned drawing (raster PDF, no vector data) — record seconds, entities, layers</t>
  </si>
  <si>
    <t>DRW-SCA2</t>
  </si>
  <si>
    <t>DRW-SCA3</t>
  </si>
  <si>
    <t>TOK-01</t>
  </si>
  <si>
    <t>Run reading documents five times — record average tokens</t>
  </si>
  <si>
    <t>under 4,000 tokens</t>
  </si>
  <si>
    <t>TOK-02</t>
  </si>
  <si>
    <t>Run tender reading five times — record average tokens</t>
  </si>
  <si>
    <t>under 8,000 tokens</t>
  </si>
  <si>
    <t>TOK-03</t>
  </si>
  <si>
    <t>Run bid / no-bid decision five times — record average tokens</t>
  </si>
  <si>
    <t>under 3,000 tokens</t>
  </si>
  <si>
    <t>TOK-04</t>
  </si>
  <si>
    <t>Run specification reading five times — record average tokens</t>
  </si>
  <si>
    <t>TOK-05</t>
  </si>
  <si>
    <t>Run drawing indexing five times — record average tokens</t>
  </si>
  <si>
    <t>TOK-06</t>
  </si>
  <si>
    <t>Run drawing take-off five times — record average tokens</t>
  </si>
  <si>
    <t>under 12,000 tokens</t>
  </si>
  <si>
    <t>TOK-07</t>
  </si>
  <si>
    <t>Run bill of quantities five times — record average tokens</t>
  </si>
  <si>
    <t>under 6,000 tokens</t>
  </si>
  <si>
    <t>TOK-08</t>
  </si>
  <si>
    <t>Run pricing five times — record average tokens</t>
  </si>
  <si>
    <t>TOK-09</t>
  </si>
  <si>
    <t>Run compliance checks five times — record average tokens</t>
  </si>
  <si>
    <t>TOK-10</t>
  </si>
  <si>
    <t>Run risk assessment five times — record average tokens</t>
  </si>
  <si>
    <t>TOK-11</t>
  </si>
  <si>
    <t>Run programme / schedule five times — record average tokens</t>
  </si>
  <si>
    <t>TOK-12</t>
  </si>
  <si>
    <t>Run procurement packages five times — record average tokens</t>
  </si>
  <si>
    <t>TOK-13</t>
  </si>
  <si>
    <t>Run technical narrative five times — record average tokens</t>
  </si>
  <si>
    <t>under 10,000 tokens</t>
  </si>
  <si>
    <t>TOK-14</t>
  </si>
  <si>
    <t>Run proposal writing five times — record average tokens</t>
  </si>
  <si>
    <t>TOK-15</t>
  </si>
  <si>
    <t>Run bid approval pack five times — record average tokens</t>
  </si>
  <si>
    <t>TOK-16</t>
  </si>
  <si>
    <t>Run client clarifications five times — record average tokens</t>
  </si>
  <si>
    <t>TOK-17</t>
  </si>
  <si>
    <t>Run copilot answers five times — record average tokens</t>
  </si>
  <si>
    <t>Accuracy</t>
  </si>
  <si>
    <t>ACC-01</t>
  </si>
  <si>
    <t>Tender requirements — compare against a hand-marked set, record % found</t>
  </si>
  <si>
    <t>90% or better</t>
  </si>
  <si>
    <t>ACC-02</t>
  </si>
  <si>
    <t>Submission dates and format — compare against a hand-marked set, record % found</t>
  </si>
  <si>
    <t>95% or better</t>
  </si>
  <si>
    <t>ACC-03</t>
  </si>
  <si>
    <t>Specification clauses — compare against a hand-marked set, record % found</t>
  </si>
  <si>
    <t>ACC-04</t>
  </si>
  <si>
    <t>Document classification — compare against a hand-marked set, record % found</t>
  </si>
  <si>
    <t>ACC-05</t>
  </si>
  <si>
    <t>Drawing sheet index — compare against a hand-marked set, record % found</t>
  </si>
  <si>
    <t>ACC-06</t>
  </si>
  <si>
    <t>Drawing measurements — compare against a hand-marked set, record % found</t>
  </si>
  <si>
    <t>ACC-07</t>
  </si>
  <si>
    <t>BOQ line generation — compare against a hand-marked set, record % found</t>
  </si>
  <si>
    <t>85% or better</t>
  </si>
  <si>
    <t>ACC-08</t>
  </si>
  <si>
    <t>Rate matching — compare against a hand-marked set, record % found</t>
  </si>
  <si>
    <t>ACC-09</t>
  </si>
  <si>
    <t>Programme activities — compare against a hand-marked set, record % found</t>
  </si>
  <si>
    <t>80% or better</t>
  </si>
  <si>
    <t>ACC-10</t>
  </si>
  <si>
    <t>Risk identification — compare against a hand-marked set, record % found</t>
  </si>
  <si>
    <t>75% or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</si>
</sst>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8"/>
      <color rgb="FF13262E"/>
      <name val="Calibri"/>
    </font>
    <font>
      <sz val="11"/>
      <color rgb="FF5B737C"/>
      <name val="Calibri"/>
    </font>
    <font>
      <sz val="11"/>
      <color rgb="FF13262E"/>
      <name val="Calibri"/>
    </font>
    <font>
      <b/>
      <sz val="20"/>
      <color rgb="FF13262E"/>
      <name val="Calibri"/>
    </font>
    <font>
      <sz val="10.5"/>
      <color rgb="FF5B737C"/>
      <name val="Calibri"/>
    </font>
    <font>
      <b/>
      <sz val="13"/>
      <color rgb="FF0B5E52"/>
      <name val="Calibri"/>
    </font>
    <font>
      <i/>
      <sz val="10.5"/>
      <color rgb="FFA32A20"/>
      <name val="Calibri"/>
    </font>
    <font>
      <b/>
      <sz val="10.5"/>
      <color rgb="FFFFFFFF"/>
      <name val="Calibri"/>
    </font>
    <font>
      <b/>
      <sz val="11"/>
      <color rgb="FF13262E"/>
      <name val="Calibri"/>
    </font>
    <font>
      <i/>
      <sz val="10"/>
      <color rgb="FFA32A20"/>
      <name val="Calibri"/>
    </font>
    <font>
      <b/>
      <sz val="10"/>
      <color rgb="FF0B5E52"/>
      <name val="Calibri"/>
    </font>
    <font>
      <sz val="9.5"/>
      <color rgb="FF13262E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BEBE9"/>
      </patternFill>
    </fill>
    <fill>
      <patternFill patternType="solid">
        <fgColor rgb="FF0B5E52"/>
      </patternFill>
    </fill>
    <fill>
      <patternFill patternType="solid">
        <fgColor rgb="FFFFF8DC"/>
      </patternFill>
    </fill>
    <fill>
      <patternFill patternType="solid">
        <fgColor rgb="FFF3F8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E5E5"/>
      </bottom>
      <diagonal/>
    </border>
    <border>
      <left/>
      <right/>
      <top style="medium">
        <color rgb="FF0B5E52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3" fontId="4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3" fillId="2" borderId="1" xfId="0" applyFont="1" applyFill="1" applyBorder="1"/>
    <xf numFmtId="3" fontId="4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/>
    <xf numFmtId="164" fontId="4" fillId="2" borderId="1" xfId="0" applyNumberFormat="1" applyFont="1" applyFill="1" applyBorder="1" applyAlignment="1">
      <alignment horizontal="left" vertical="center"/>
    </xf>
    <xf numFmtId="0" fontId="6" fillId="0" borderId="0" xfId="0" applyFont="1"/>
    <xf numFmtId="0" fontId="8" fillId="3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3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0" borderId="0" xfId="0"/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b/>
        <color rgb="FF8A5A12"/>
      </font>
      <fill>
        <patternFill patternType="solid">
          <fgColor rgb="FFFDF3E3"/>
        </patternFill>
      </fill>
    </dxf>
    <dxf>
      <font>
        <b/>
        <color rgb="FFA32A20"/>
      </font>
      <fill>
        <patternFill patternType="solid">
          <fgColor rgb="FFFBEBE9"/>
        </patternFill>
      </fill>
    </dxf>
    <dxf>
      <font>
        <b/>
        <color rgb="FF177A5E"/>
      </font>
      <fill>
        <patternFill patternType="solid">
          <fgColor rgb="FFE6F4E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0"/>
  <sheetViews>
    <sheetView showGridLines="0" workbookViewId="0"/>
  </sheetViews>
  <sheetFormatPr defaultRowHeight="15" x14ac:dyDescent="0.25"/>
  <cols>
    <col min="1" max="1" width="2" customWidth="1"/>
    <col min="2" max="2" width="34" customWidth="1"/>
    <col min="3" max="3" width="14" customWidth="1"/>
    <col min="4" max="4" width="54" customWidth="1"/>
  </cols>
  <sheetData>
    <row r="2" spans="2:4" ht="23.25" x14ac:dyDescent="0.35">
      <c r="B2" s="1" t="s">
        <v>0</v>
      </c>
    </row>
    <row r="3" spans="2:4" x14ac:dyDescent="0.25">
      <c r="B3" s="2" t="s">
        <v>1</v>
      </c>
    </row>
    <row r="5" spans="2:4" ht="26.1" customHeight="1" x14ac:dyDescent="0.25">
      <c r="B5" s="3" t="s">
        <v>2</v>
      </c>
      <c r="C5" s="4">
        <v>6</v>
      </c>
      <c r="D5" s="5"/>
    </row>
    <row r="6" spans="2:4" ht="26.1" customHeight="1" x14ac:dyDescent="0.25">
      <c r="B6" s="3" t="s">
        <v>3</v>
      </c>
      <c r="C6" s="4">
        <v>228</v>
      </c>
      <c r="D6" s="5"/>
    </row>
    <row r="7" spans="2:4" ht="26.1" customHeight="1" x14ac:dyDescent="0.25">
      <c r="B7" s="3" t="s">
        <v>4</v>
      </c>
      <c r="C7" s="4">
        <v>88</v>
      </c>
      <c r="D7" s="5"/>
    </row>
    <row r="8" spans="2:4" ht="26.1" customHeight="1" x14ac:dyDescent="0.25">
      <c r="B8" s="6" t="s">
        <v>5</v>
      </c>
      <c r="C8" s="7">
        <v>44</v>
      </c>
      <c r="D8" s="8" t="s">
        <v>6</v>
      </c>
    </row>
    <row r="9" spans="2:4" ht="26.1" customHeight="1" x14ac:dyDescent="0.25">
      <c r="B9" s="6" t="s">
        <v>7</v>
      </c>
      <c r="C9" s="7">
        <v>26040</v>
      </c>
      <c r="D9" s="8" t="s">
        <v>8</v>
      </c>
    </row>
    <row r="10" spans="2:4" ht="26.1" customHeight="1" x14ac:dyDescent="0.25">
      <c r="B10" s="6" t="s">
        <v>9</v>
      </c>
      <c r="C10" s="9">
        <v>3.36</v>
      </c>
      <c r="D10" s="8" t="s">
        <v>10</v>
      </c>
    </row>
    <row r="11" spans="2:4" ht="26.1" customHeight="1" x14ac:dyDescent="0.25">
      <c r="B11" s="6" t="s">
        <v>11</v>
      </c>
      <c r="C11" s="7">
        <v>1367</v>
      </c>
      <c r="D11" s="8" t="s">
        <v>12</v>
      </c>
    </row>
    <row r="12" spans="2:4" ht="26.1" customHeight="1" x14ac:dyDescent="0.25">
      <c r="B12" s="6" t="s">
        <v>13</v>
      </c>
      <c r="C12" s="7">
        <v>8</v>
      </c>
      <c r="D12" s="8" t="s">
        <v>14</v>
      </c>
    </row>
    <row r="13" spans="2:4" ht="26.1" customHeight="1" x14ac:dyDescent="0.25">
      <c r="B13" s="3" t="s">
        <v>15</v>
      </c>
      <c r="C13" s="4">
        <v>2</v>
      </c>
      <c r="D13" s="5"/>
    </row>
    <row r="15" spans="2:4" ht="17.25" x14ac:dyDescent="0.3">
      <c r="B15" s="10" t="s">
        <v>16</v>
      </c>
    </row>
    <row r="16" spans="2:4" ht="30" customHeight="1" x14ac:dyDescent="0.25">
      <c r="B16" s="38" t="s">
        <v>17</v>
      </c>
      <c r="C16" s="39"/>
      <c r="D16" s="39"/>
    </row>
    <row r="17" spans="2:4" ht="30" customHeight="1" x14ac:dyDescent="0.25">
      <c r="B17" s="38" t="s">
        <v>18</v>
      </c>
      <c r="C17" s="39"/>
      <c r="D17" s="39"/>
    </row>
    <row r="18" spans="2:4" ht="30" customHeight="1" x14ac:dyDescent="0.25">
      <c r="B18" s="38" t="s">
        <v>19</v>
      </c>
      <c r="C18" s="39"/>
      <c r="D18" s="39"/>
    </row>
    <row r="20" spans="2:4" ht="44.1" customHeight="1" x14ac:dyDescent="0.25">
      <c r="B20" s="40" t="s">
        <v>20</v>
      </c>
      <c r="C20" s="39"/>
      <c r="D20" s="39"/>
    </row>
  </sheetData>
  <mergeCells count="4">
    <mergeCell ref="B17:D17"/>
    <mergeCell ref="B18:D18"/>
    <mergeCell ref="B16:D16"/>
    <mergeCell ref="B20:D20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5E52"/>
    <pageSetUpPr fitToPage="1"/>
  </sheetPr>
  <dimension ref="A1:L2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6" customWidth="1"/>
    <col min="2" max="2" width="11" customWidth="1"/>
    <col min="3" max="3" width="10" customWidth="1"/>
    <col min="4" max="5" width="12" customWidth="1"/>
    <col min="6" max="6" width="11" customWidth="1"/>
    <col min="7" max="7" width="3" customWidth="1"/>
    <col min="8" max="8" width="24" customWidth="1"/>
    <col min="9" max="9" width="11" customWidth="1"/>
    <col min="10" max="10" width="12" customWidth="1"/>
    <col min="11" max="12" width="11" customWidth="1"/>
  </cols>
  <sheetData>
    <row r="1" spans="1:12" ht="23.25" x14ac:dyDescent="0.35">
      <c r="A1" s="1" t="s">
        <v>21</v>
      </c>
    </row>
    <row r="2" spans="1:12" x14ac:dyDescent="0.25">
      <c r="A2" s="2" t="s">
        <v>22</v>
      </c>
    </row>
    <row r="4" spans="1:12" ht="26.1" customHeight="1" x14ac:dyDescent="0.25">
      <c r="A4" s="11" t="s">
        <v>23</v>
      </c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H4" s="11" t="s">
        <v>29</v>
      </c>
      <c r="I4" s="11" t="s">
        <v>24</v>
      </c>
      <c r="J4" s="11" t="s">
        <v>26</v>
      </c>
      <c r="K4" s="11" t="s">
        <v>27</v>
      </c>
      <c r="L4" s="11" t="s">
        <v>28</v>
      </c>
    </row>
    <row r="5" spans="1:12" ht="18.95" customHeight="1" x14ac:dyDescent="0.25">
      <c r="A5" s="12" t="s">
        <v>30</v>
      </c>
      <c r="B5" s="13">
        <v>30</v>
      </c>
      <c r="C5" s="13">
        <v>15</v>
      </c>
      <c r="D5" s="13">
        <v>9300</v>
      </c>
      <c r="E5" s="14">
        <v>1.2</v>
      </c>
      <c r="F5" s="15">
        <v>0.35714285714285721</v>
      </c>
      <c r="H5" s="12" t="s">
        <v>31</v>
      </c>
      <c r="I5" s="13">
        <v>22</v>
      </c>
      <c r="J5" s="13">
        <v>6820</v>
      </c>
      <c r="K5" s="14">
        <v>0.88</v>
      </c>
      <c r="L5" s="15">
        <v>0.26190476190476192</v>
      </c>
    </row>
    <row r="6" spans="1:12" ht="18.95" customHeight="1" x14ac:dyDescent="0.25">
      <c r="A6" s="12" t="s">
        <v>32</v>
      </c>
      <c r="B6" s="13">
        <v>10</v>
      </c>
      <c r="C6" s="13">
        <v>5</v>
      </c>
      <c r="D6" s="13">
        <v>3100</v>
      </c>
      <c r="E6" s="14">
        <v>0.4</v>
      </c>
      <c r="F6" s="15">
        <v>0.1190476190476191</v>
      </c>
      <c r="H6" s="12" t="s">
        <v>33</v>
      </c>
      <c r="I6" s="13">
        <v>20</v>
      </c>
      <c r="J6" s="13">
        <v>6200</v>
      </c>
      <c r="K6" s="14">
        <v>0.8</v>
      </c>
      <c r="L6" s="15">
        <v>0.23809523809523811</v>
      </c>
    </row>
    <row r="7" spans="1:12" ht="18.95" customHeight="1" x14ac:dyDescent="0.25">
      <c r="A7" s="12" t="s">
        <v>34</v>
      </c>
      <c r="B7" s="13">
        <v>6</v>
      </c>
      <c r="C7" s="13">
        <v>3</v>
      </c>
      <c r="D7" s="13">
        <v>1860</v>
      </c>
      <c r="E7" s="14">
        <v>0.24</v>
      </c>
      <c r="F7" s="15">
        <v>7.1428571428571425E-2</v>
      </c>
      <c r="H7" s="12" t="s">
        <v>35</v>
      </c>
      <c r="I7" s="13">
        <v>18</v>
      </c>
      <c r="J7" s="13">
        <v>5580</v>
      </c>
      <c r="K7" s="14">
        <v>0.72</v>
      </c>
      <c r="L7" s="15">
        <v>0.2142857142857143</v>
      </c>
    </row>
    <row r="8" spans="1:12" ht="18.95" customHeight="1" x14ac:dyDescent="0.25">
      <c r="A8" s="12" t="s">
        <v>36</v>
      </c>
      <c r="B8" s="13">
        <v>6</v>
      </c>
      <c r="C8" s="13">
        <v>3</v>
      </c>
      <c r="D8" s="13">
        <v>1860</v>
      </c>
      <c r="E8" s="14">
        <v>0.24</v>
      </c>
      <c r="F8" s="15">
        <v>7.1428571428571425E-2</v>
      </c>
      <c r="H8" s="12" t="s">
        <v>37</v>
      </c>
      <c r="I8" s="13">
        <v>18</v>
      </c>
      <c r="J8" s="13">
        <v>4340</v>
      </c>
      <c r="K8" s="14">
        <v>0.56000000000000005</v>
      </c>
      <c r="L8" s="15">
        <v>0.16666666666666671</v>
      </c>
    </row>
    <row r="9" spans="1:12" ht="18.95" customHeight="1" x14ac:dyDescent="0.25">
      <c r="A9" s="12" t="s">
        <v>38</v>
      </c>
      <c r="B9" s="13">
        <v>6</v>
      </c>
      <c r="C9" s="13">
        <v>3</v>
      </c>
      <c r="D9" s="13">
        <v>1860</v>
      </c>
      <c r="E9" s="14">
        <v>0.24</v>
      </c>
      <c r="F9" s="15">
        <v>7.1428571428571425E-2</v>
      </c>
      <c r="H9" s="12" t="s">
        <v>39</v>
      </c>
      <c r="I9" s="13">
        <v>8</v>
      </c>
      <c r="J9" s="13">
        <v>2480</v>
      </c>
      <c r="K9" s="14">
        <v>0.32</v>
      </c>
      <c r="L9" s="15">
        <v>9.5238095238095247E-2</v>
      </c>
    </row>
    <row r="10" spans="1:12" ht="18.95" customHeight="1" x14ac:dyDescent="0.25">
      <c r="A10" s="12" t="s">
        <v>40</v>
      </c>
      <c r="B10" s="13">
        <v>6</v>
      </c>
      <c r="C10" s="13">
        <v>3</v>
      </c>
      <c r="D10" s="13">
        <v>1860</v>
      </c>
      <c r="E10" s="14">
        <v>0.24</v>
      </c>
      <c r="F10" s="15">
        <v>7.1428571428571425E-2</v>
      </c>
      <c r="H10" s="12" t="s">
        <v>41</v>
      </c>
      <c r="I10" s="13">
        <v>2</v>
      </c>
      <c r="J10" s="13">
        <v>620</v>
      </c>
      <c r="K10" s="14">
        <v>0.08</v>
      </c>
      <c r="L10" s="15">
        <v>2.3809523809523812E-2</v>
      </c>
    </row>
    <row r="11" spans="1:12" ht="18.95" customHeight="1" x14ac:dyDescent="0.25">
      <c r="A11" s="12" t="s">
        <v>42</v>
      </c>
      <c r="B11" s="13">
        <v>6</v>
      </c>
      <c r="C11" s="13">
        <v>3</v>
      </c>
      <c r="D11" s="13">
        <v>1860</v>
      </c>
      <c r="E11" s="14">
        <v>0.24</v>
      </c>
      <c r="F11" s="15">
        <v>7.1428571428571425E-2</v>
      </c>
      <c r="H11" s="16" t="s">
        <v>43</v>
      </c>
      <c r="I11" s="17">
        <v>88</v>
      </c>
      <c r="J11" s="17">
        <v>26040</v>
      </c>
      <c r="K11" s="18">
        <v>3.36</v>
      </c>
      <c r="L11" s="19">
        <v>1</v>
      </c>
    </row>
    <row r="12" spans="1:12" ht="18.95" customHeight="1" x14ac:dyDescent="0.25">
      <c r="A12" s="12" t="s">
        <v>44</v>
      </c>
      <c r="B12" s="13">
        <v>4</v>
      </c>
      <c r="C12" s="13">
        <v>2</v>
      </c>
      <c r="D12" s="13">
        <v>1240</v>
      </c>
      <c r="E12" s="14">
        <v>0.16</v>
      </c>
      <c r="F12" s="15">
        <v>4.7619047619047623E-2</v>
      </c>
    </row>
    <row r="13" spans="1:12" ht="18.95" customHeight="1" x14ac:dyDescent="0.25">
      <c r="A13" s="12" t="s">
        <v>45</v>
      </c>
      <c r="B13" s="13">
        <v>4</v>
      </c>
      <c r="C13" s="13">
        <v>2</v>
      </c>
      <c r="D13" s="13">
        <v>620</v>
      </c>
      <c r="E13" s="14">
        <v>0.08</v>
      </c>
      <c r="F13" s="15">
        <v>2.3809523809523812E-2</v>
      </c>
      <c r="H13" s="41" t="s">
        <v>46</v>
      </c>
      <c r="I13" s="39"/>
      <c r="J13" s="39"/>
      <c r="K13" s="39"/>
      <c r="L13" s="39"/>
    </row>
    <row r="14" spans="1:12" ht="18.95" customHeight="1" x14ac:dyDescent="0.25">
      <c r="A14" s="12" t="s">
        <v>47</v>
      </c>
      <c r="B14" s="13">
        <v>2</v>
      </c>
      <c r="C14" s="13">
        <v>1</v>
      </c>
      <c r="D14" s="13">
        <v>620</v>
      </c>
      <c r="E14" s="14">
        <v>0.08</v>
      </c>
      <c r="F14" s="15">
        <v>2.3809523809523812E-2</v>
      </c>
      <c r="H14" s="39"/>
      <c r="I14" s="39"/>
      <c r="J14" s="39"/>
      <c r="K14" s="39"/>
      <c r="L14" s="39"/>
    </row>
    <row r="15" spans="1:12" ht="18.95" customHeight="1" x14ac:dyDescent="0.25">
      <c r="A15" s="12" t="s">
        <v>48</v>
      </c>
      <c r="B15" s="13">
        <v>2</v>
      </c>
      <c r="C15" s="13">
        <v>1</v>
      </c>
      <c r="D15" s="13">
        <v>620</v>
      </c>
      <c r="E15" s="14">
        <v>0.08</v>
      </c>
      <c r="F15" s="15">
        <v>2.3809523809523812E-2</v>
      </c>
    </row>
    <row r="16" spans="1:12" ht="18.95" customHeight="1" x14ac:dyDescent="0.25">
      <c r="A16" s="12" t="s">
        <v>49</v>
      </c>
      <c r="B16" s="13">
        <v>2</v>
      </c>
      <c r="C16" s="13">
        <v>1</v>
      </c>
      <c r="D16" s="13">
        <v>620</v>
      </c>
      <c r="E16" s="14">
        <v>0.08</v>
      </c>
      <c r="F16" s="15">
        <v>2.3809523809523812E-2</v>
      </c>
    </row>
    <row r="17" spans="1:6" ht="18.95" customHeight="1" x14ac:dyDescent="0.25">
      <c r="A17" s="12" t="s">
        <v>50</v>
      </c>
      <c r="B17" s="13">
        <v>2</v>
      </c>
      <c r="C17" s="13">
        <v>1</v>
      </c>
      <c r="D17" s="13">
        <v>620</v>
      </c>
      <c r="E17" s="14">
        <v>0.08</v>
      </c>
      <c r="F17" s="15">
        <v>2.3809523809523812E-2</v>
      </c>
    </row>
    <row r="18" spans="1:6" ht="18.95" customHeight="1" x14ac:dyDescent="0.25">
      <c r="A18" s="12" t="s">
        <v>51</v>
      </c>
      <c r="B18" s="13">
        <v>2</v>
      </c>
      <c r="C18" s="13">
        <v>1</v>
      </c>
      <c r="D18" s="13">
        <v>0</v>
      </c>
      <c r="E18" s="14">
        <v>0</v>
      </c>
      <c r="F18" s="15">
        <v>0</v>
      </c>
    </row>
    <row r="19" spans="1:6" ht="18.95" customHeight="1" x14ac:dyDescent="0.25">
      <c r="A19" s="20" t="s">
        <v>52</v>
      </c>
      <c r="B19" s="21" t="s">
        <v>53</v>
      </c>
      <c r="C19" s="22">
        <v>0</v>
      </c>
      <c r="D19" s="22">
        <v>0</v>
      </c>
      <c r="E19" s="23">
        <v>0</v>
      </c>
      <c r="F19" s="24">
        <v>0</v>
      </c>
    </row>
    <row r="20" spans="1:6" ht="18.95" customHeight="1" x14ac:dyDescent="0.25">
      <c r="A20" s="20" t="s">
        <v>54</v>
      </c>
      <c r="B20" s="21" t="s">
        <v>53</v>
      </c>
      <c r="C20" s="22">
        <v>0</v>
      </c>
      <c r="D20" s="22">
        <v>0</v>
      </c>
      <c r="E20" s="23">
        <v>0</v>
      </c>
      <c r="F20" s="24">
        <v>0</v>
      </c>
    </row>
    <row r="21" spans="1:6" ht="18.95" customHeight="1" x14ac:dyDescent="0.25">
      <c r="A21" s="20" t="s">
        <v>55</v>
      </c>
      <c r="B21" s="21" t="s">
        <v>53</v>
      </c>
      <c r="C21" s="22">
        <v>0</v>
      </c>
      <c r="D21" s="22">
        <v>0</v>
      </c>
      <c r="E21" s="23">
        <v>0</v>
      </c>
      <c r="F21" s="24">
        <v>0</v>
      </c>
    </row>
    <row r="22" spans="1:6" x14ac:dyDescent="0.25">
      <c r="A22" s="16" t="s">
        <v>43</v>
      </c>
      <c r="B22" s="17">
        <v>88</v>
      </c>
      <c r="C22" s="17">
        <v>44</v>
      </c>
      <c r="D22" s="17">
        <v>26040</v>
      </c>
      <c r="E22" s="18">
        <v>3.36</v>
      </c>
      <c r="F22" s="19">
        <v>1</v>
      </c>
    </row>
  </sheetData>
  <mergeCells count="1">
    <mergeCell ref="H13:L14"/>
  </mergeCells>
  <conditionalFormatting sqref="E5:E21">
    <cfRule type="dataBar" priority="1">
      <dataBar>
        <cfvo type="num" val="0"/>
        <cfvo type="max"/>
        <color rgb="FF0B5E52"/>
      </dataBar>
    </cfRule>
  </conditionalFormatting>
  <conditionalFormatting sqref="K5:K10">
    <cfRule type="dataBar" priority="2">
      <dataBar>
        <cfvo type="num" val="0"/>
        <cfvo type="max"/>
        <color rgb="FF0B5E52"/>
      </dataBar>
    </cfRule>
  </conditionalFormatting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A5A12"/>
    <pageSetUpPr fitToPage="1"/>
  </sheetPr>
  <dimension ref="A1:I98"/>
  <sheetViews>
    <sheetView showGridLines="0" tabSelected="1" workbookViewId="0">
      <pane ySplit="4" topLeftCell="A5" activePane="bottomLeft" state="frozen"/>
      <selection pane="bottomLeft" activeCell="I1" sqref="I1"/>
    </sheetView>
  </sheetViews>
  <sheetFormatPr defaultRowHeight="15" x14ac:dyDescent="0.25"/>
  <cols>
    <col min="1" max="1" width="13" customWidth="1"/>
    <col min="2" max="2" width="9" customWidth="1"/>
    <col min="3" max="3" width="87.7109375" bestFit="1" customWidth="1"/>
    <col min="4" max="4" width="42.5703125" customWidth="1"/>
    <col min="5" max="5" width="14" customWidth="1"/>
    <col min="6" max="6" width="12" customWidth="1"/>
    <col min="7" max="7" width="14" customWidth="1"/>
    <col min="8" max="8" width="11" customWidth="1"/>
    <col min="9" max="9" width="26" customWidth="1"/>
  </cols>
  <sheetData>
    <row r="1" spans="1:9" ht="23.25" x14ac:dyDescent="0.35">
      <c r="A1" s="1" t="s">
        <v>56</v>
      </c>
      <c r="G1" s="25" t="s">
        <v>57</v>
      </c>
      <c r="H1" s="26">
        <f>COUNTIF(F5:F505,"Pass")</f>
        <v>0</v>
      </c>
      <c r="I1" s="25" t="str">
        <f>"of " &amp; 94 &amp; " tests"</f>
        <v>of 94 tests</v>
      </c>
    </row>
    <row r="2" spans="1:9" x14ac:dyDescent="0.25">
      <c r="A2" s="2" t="s">
        <v>58</v>
      </c>
      <c r="G2" s="25" t="s">
        <v>59</v>
      </c>
      <c r="H2" s="26">
        <f>COUNTIF(F5:F505,"Fail")</f>
        <v>0</v>
      </c>
    </row>
    <row r="4" spans="1:9" ht="26.1" customHeight="1" x14ac:dyDescent="0.25">
      <c r="A4" s="11" t="s">
        <v>60</v>
      </c>
      <c r="B4" s="11" t="s">
        <v>61</v>
      </c>
      <c r="C4" s="11" t="s">
        <v>62</v>
      </c>
      <c r="D4" s="11" t="s">
        <v>63</v>
      </c>
      <c r="E4" s="11" t="s">
        <v>64</v>
      </c>
      <c r="F4" s="11" t="s">
        <v>65</v>
      </c>
      <c r="G4" s="11" t="s">
        <v>66</v>
      </c>
      <c r="H4" s="11" t="s">
        <v>67</v>
      </c>
      <c r="I4" s="11" t="s">
        <v>68</v>
      </c>
    </row>
    <row r="5" spans="1:9" ht="20.100000000000001" customHeight="1" x14ac:dyDescent="0.25">
      <c r="A5" s="27" t="s">
        <v>69</v>
      </c>
      <c r="B5" s="28" t="s">
        <v>70</v>
      </c>
      <c r="C5" s="29" t="s">
        <v>71</v>
      </c>
      <c r="D5" s="30" t="s">
        <v>72</v>
      </c>
      <c r="E5" s="31"/>
      <c r="F5" s="32" t="s">
        <v>73</v>
      </c>
      <c r="G5" s="31"/>
      <c r="H5" s="32"/>
      <c r="I5" s="33"/>
    </row>
    <row r="6" spans="1:9" ht="20.100000000000001" customHeight="1" x14ac:dyDescent="0.25">
      <c r="A6" s="27" t="s">
        <v>69</v>
      </c>
      <c r="B6" s="28" t="s">
        <v>74</v>
      </c>
      <c r="C6" s="29" t="s">
        <v>75</v>
      </c>
      <c r="D6" s="30" t="s">
        <v>76</v>
      </c>
      <c r="E6" s="31"/>
      <c r="F6" s="32" t="s">
        <v>73</v>
      </c>
      <c r="G6" s="31"/>
      <c r="H6" s="32"/>
      <c r="I6" s="33"/>
    </row>
    <row r="7" spans="1:9" ht="20.100000000000001" customHeight="1" x14ac:dyDescent="0.25">
      <c r="A7" s="27" t="s">
        <v>69</v>
      </c>
      <c r="B7" s="28" t="s">
        <v>77</v>
      </c>
      <c r="C7" s="29" t="s">
        <v>78</v>
      </c>
      <c r="D7" s="30" t="s">
        <v>79</v>
      </c>
      <c r="E7" s="31"/>
      <c r="F7" s="32" t="s">
        <v>73</v>
      </c>
      <c r="G7" s="31"/>
      <c r="H7" s="32"/>
      <c r="I7" s="33"/>
    </row>
    <row r="8" spans="1:9" ht="20.100000000000001" customHeight="1" x14ac:dyDescent="0.25">
      <c r="A8" s="27" t="s">
        <v>69</v>
      </c>
      <c r="B8" s="28" t="s">
        <v>80</v>
      </c>
      <c r="C8" s="29" t="s">
        <v>81</v>
      </c>
      <c r="D8" s="30" t="s">
        <v>82</v>
      </c>
      <c r="E8" s="31"/>
      <c r="F8" s="32" t="s">
        <v>73</v>
      </c>
      <c r="G8" s="31"/>
      <c r="H8" s="32"/>
      <c r="I8" s="33"/>
    </row>
    <row r="9" spans="1:9" ht="20.100000000000001" customHeight="1" x14ac:dyDescent="0.25">
      <c r="A9" s="27" t="s">
        <v>69</v>
      </c>
      <c r="B9" s="28" t="s">
        <v>83</v>
      </c>
      <c r="C9" s="29" t="s">
        <v>84</v>
      </c>
      <c r="D9" s="30" t="s">
        <v>85</v>
      </c>
      <c r="E9" s="31"/>
      <c r="F9" s="32" t="s">
        <v>73</v>
      </c>
      <c r="G9" s="31"/>
      <c r="H9" s="32"/>
      <c r="I9" s="33"/>
    </row>
    <row r="10" spans="1:9" ht="20.100000000000001" customHeight="1" x14ac:dyDescent="0.25">
      <c r="A10" s="27" t="s">
        <v>69</v>
      </c>
      <c r="B10" s="28" t="s">
        <v>86</v>
      </c>
      <c r="C10" s="29" t="s">
        <v>87</v>
      </c>
      <c r="D10" s="30" t="s">
        <v>88</v>
      </c>
      <c r="E10" s="31"/>
      <c r="F10" s="32" t="s">
        <v>73</v>
      </c>
      <c r="G10" s="31"/>
      <c r="H10" s="32"/>
      <c r="I10" s="33"/>
    </row>
    <row r="11" spans="1:9" ht="20.100000000000001" customHeight="1" x14ac:dyDescent="0.25">
      <c r="A11" s="27" t="s">
        <v>69</v>
      </c>
      <c r="B11" s="28" t="s">
        <v>89</v>
      </c>
      <c r="C11" s="29" t="s">
        <v>90</v>
      </c>
      <c r="D11" s="30" t="s">
        <v>91</v>
      </c>
      <c r="E11" s="31"/>
      <c r="F11" s="32" t="s">
        <v>73</v>
      </c>
      <c r="G11" s="31"/>
      <c r="H11" s="32"/>
      <c r="I11" s="33"/>
    </row>
    <row r="12" spans="1:9" ht="20.100000000000001" customHeight="1" x14ac:dyDescent="0.25">
      <c r="A12" s="27" t="s">
        <v>69</v>
      </c>
      <c r="B12" s="28" t="s">
        <v>92</v>
      </c>
      <c r="C12" s="29" t="s">
        <v>93</v>
      </c>
      <c r="D12" s="30" t="s">
        <v>94</v>
      </c>
      <c r="E12" s="31"/>
      <c r="F12" s="32" t="s">
        <v>73</v>
      </c>
      <c r="G12" s="31"/>
      <c r="H12" s="32"/>
      <c r="I12" s="33"/>
    </row>
    <row r="13" spans="1:9" ht="20.100000000000001" customHeight="1" x14ac:dyDescent="0.25">
      <c r="A13" s="27" t="s">
        <v>69</v>
      </c>
      <c r="B13" s="28" t="s">
        <v>95</v>
      </c>
      <c r="C13" s="29" t="s">
        <v>96</v>
      </c>
      <c r="D13" s="30" t="s">
        <v>97</v>
      </c>
      <c r="E13" s="31"/>
      <c r="F13" s="32" t="s">
        <v>73</v>
      </c>
      <c r="G13" s="31"/>
      <c r="H13" s="32"/>
      <c r="I13" s="33"/>
    </row>
    <row r="14" spans="1:9" ht="20.100000000000001" customHeight="1" x14ac:dyDescent="0.25">
      <c r="A14" s="27" t="s">
        <v>69</v>
      </c>
      <c r="B14" s="28" t="s">
        <v>98</v>
      </c>
      <c r="C14" s="29" t="s">
        <v>99</v>
      </c>
      <c r="D14" s="30" t="s">
        <v>100</v>
      </c>
      <c r="E14" s="31"/>
      <c r="F14" s="32" t="s">
        <v>73</v>
      </c>
      <c r="G14" s="31"/>
      <c r="H14" s="32"/>
      <c r="I14" s="33"/>
    </row>
    <row r="15" spans="1:9" ht="20.100000000000001" customHeight="1" x14ac:dyDescent="0.25">
      <c r="A15" s="27" t="s">
        <v>69</v>
      </c>
      <c r="B15" s="28" t="s">
        <v>101</v>
      </c>
      <c r="C15" s="29" t="s">
        <v>102</v>
      </c>
      <c r="D15" s="30" t="s">
        <v>103</v>
      </c>
      <c r="E15" s="31"/>
      <c r="F15" s="32" t="s">
        <v>73</v>
      </c>
      <c r="G15" s="31"/>
      <c r="H15" s="32"/>
      <c r="I15" s="33"/>
    </row>
    <row r="16" spans="1:9" ht="20.100000000000001" customHeight="1" x14ac:dyDescent="0.25">
      <c r="A16" s="27" t="s">
        <v>69</v>
      </c>
      <c r="B16" s="28" t="s">
        <v>104</v>
      </c>
      <c r="C16" s="29" t="s">
        <v>105</v>
      </c>
      <c r="D16" s="30" t="s">
        <v>106</v>
      </c>
      <c r="E16" s="31"/>
      <c r="F16" s="32" t="s">
        <v>73</v>
      </c>
      <c r="G16" s="31"/>
      <c r="H16" s="32"/>
      <c r="I16" s="33"/>
    </row>
    <row r="17" spans="1:9" ht="20.100000000000001" customHeight="1" x14ac:dyDescent="0.25">
      <c r="A17" s="27" t="s">
        <v>69</v>
      </c>
      <c r="B17" s="28" t="s">
        <v>107</v>
      </c>
      <c r="C17" s="29" t="s">
        <v>108</v>
      </c>
      <c r="D17" s="30" t="s">
        <v>109</v>
      </c>
      <c r="E17" s="31"/>
      <c r="F17" s="32" t="s">
        <v>73</v>
      </c>
      <c r="G17" s="31"/>
      <c r="H17" s="32"/>
      <c r="I17" s="33"/>
    </row>
    <row r="18" spans="1:9" ht="20.100000000000001" customHeight="1" x14ac:dyDescent="0.25">
      <c r="A18" s="27" t="s">
        <v>69</v>
      </c>
      <c r="B18" s="28" t="s">
        <v>110</v>
      </c>
      <c r="C18" s="29" t="s">
        <v>111</v>
      </c>
      <c r="D18" s="30" t="s">
        <v>112</v>
      </c>
      <c r="E18" s="31"/>
      <c r="F18" s="32" t="s">
        <v>73</v>
      </c>
      <c r="G18" s="31"/>
      <c r="H18" s="32"/>
      <c r="I18" s="33"/>
    </row>
    <row r="19" spans="1:9" ht="20.100000000000001" customHeight="1" x14ac:dyDescent="0.25">
      <c r="A19" s="27" t="s">
        <v>69</v>
      </c>
      <c r="B19" s="28" t="s">
        <v>113</v>
      </c>
      <c r="C19" s="29" t="s">
        <v>114</v>
      </c>
      <c r="D19" s="30" t="s">
        <v>115</v>
      </c>
      <c r="E19" s="31"/>
      <c r="F19" s="32" t="s">
        <v>73</v>
      </c>
      <c r="G19" s="31"/>
      <c r="H19" s="32"/>
      <c r="I19" s="33"/>
    </row>
    <row r="20" spans="1:9" ht="20.100000000000001" customHeight="1" x14ac:dyDescent="0.25">
      <c r="A20" s="27" t="s">
        <v>69</v>
      </c>
      <c r="B20" s="28" t="s">
        <v>116</v>
      </c>
      <c r="C20" s="29" t="s">
        <v>117</v>
      </c>
      <c r="D20" s="30" t="s">
        <v>118</v>
      </c>
      <c r="E20" s="31"/>
      <c r="F20" s="32" t="s">
        <v>73</v>
      </c>
      <c r="G20" s="31"/>
      <c r="H20" s="32"/>
      <c r="I20" s="33"/>
    </row>
    <row r="21" spans="1:9" ht="20.100000000000001" customHeight="1" x14ac:dyDescent="0.25">
      <c r="A21" s="27" t="s">
        <v>69</v>
      </c>
      <c r="B21" s="28" t="s">
        <v>119</v>
      </c>
      <c r="C21" s="29" t="s">
        <v>120</v>
      </c>
      <c r="D21" s="30" t="s">
        <v>121</v>
      </c>
      <c r="E21" s="31"/>
      <c r="F21" s="32" t="s">
        <v>73</v>
      </c>
      <c r="G21" s="31"/>
      <c r="H21" s="32"/>
      <c r="I21" s="33"/>
    </row>
    <row r="22" spans="1:9" ht="20.100000000000001" customHeight="1" x14ac:dyDescent="0.25">
      <c r="A22" s="27" t="s">
        <v>69</v>
      </c>
      <c r="B22" s="28" t="s">
        <v>122</v>
      </c>
      <c r="C22" s="29" t="s">
        <v>123</v>
      </c>
      <c r="D22" s="30" t="s">
        <v>124</v>
      </c>
      <c r="E22" s="31"/>
      <c r="F22" s="32" t="s">
        <v>73</v>
      </c>
      <c r="G22" s="31"/>
      <c r="H22" s="32"/>
      <c r="I22" s="33"/>
    </row>
    <row r="23" spans="1:9" ht="20.100000000000001" customHeight="1" x14ac:dyDescent="0.25">
      <c r="A23" s="27" t="s">
        <v>69</v>
      </c>
      <c r="B23" s="28" t="s">
        <v>125</v>
      </c>
      <c r="C23" s="29" t="s">
        <v>126</v>
      </c>
      <c r="D23" s="30" t="s">
        <v>127</v>
      </c>
      <c r="E23" s="31"/>
      <c r="F23" s="32" t="s">
        <v>73</v>
      </c>
      <c r="G23" s="31"/>
      <c r="H23" s="32"/>
      <c r="I23" s="33"/>
    </row>
    <row r="24" spans="1:9" ht="20.100000000000001" customHeight="1" x14ac:dyDescent="0.25">
      <c r="A24" s="27" t="s">
        <v>69</v>
      </c>
      <c r="B24" s="28" t="s">
        <v>128</v>
      </c>
      <c r="C24" s="29" t="s">
        <v>129</v>
      </c>
      <c r="D24" s="30" t="s">
        <v>130</v>
      </c>
      <c r="E24" s="31"/>
      <c r="F24" s="32" t="s">
        <v>73</v>
      </c>
      <c r="G24" s="31"/>
      <c r="H24" s="32"/>
      <c r="I24" s="33"/>
    </row>
    <row r="25" spans="1:9" ht="20.100000000000001" customHeight="1" x14ac:dyDescent="0.25">
      <c r="A25" s="27" t="s">
        <v>69</v>
      </c>
      <c r="B25" s="28" t="s">
        <v>131</v>
      </c>
      <c r="C25" s="29" t="s">
        <v>132</v>
      </c>
      <c r="D25" s="30" t="s">
        <v>133</v>
      </c>
      <c r="E25" s="31"/>
      <c r="F25" s="32" t="s">
        <v>73</v>
      </c>
      <c r="G25" s="31"/>
      <c r="H25" s="32"/>
      <c r="I25" s="33"/>
    </row>
    <row r="26" spans="1:9" ht="20.100000000000001" customHeight="1" x14ac:dyDescent="0.25">
      <c r="A26" s="27" t="s">
        <v>69</v>
      </c>
      <c r="B26" s="28" t="s">
        <v>134</v>
      </c>
      <c r="C26" s="29" t="s">
        <v>135</v>
      </c>
      <c r="D26" s="30" t="s">
        <v>136</v>
      </c>
      <c r="E26" s="31"/>
      <c r="F26" s="32" t="s">
        <v>73</v>
      </c>
      <c r="G26" s="31"/>
      <c r="H26" s="32"/>
      <c r="I26" s="33"/>
    </row>
    <row r="27" spans="1:9" ht="20.100000000000001" customHeight="1" x14ac:dyDescent="0.25">
      <c r="A27" s="27" t="s">
        <v>69</v>
      </c>
      <c r="B27" s="28" t="s">
        <v>137</v>
      </c>
      <c r="C27" s="29" t="s">
        <v>138</v>
      </c>
      <c r="D27" s="30" t="s">
        <v>139</v>
      </c>
      <c r="E27" s="31"/>
      <c r="F27" s="32" t="s">
        <v>73</v>
      </c>
      <c r="G27" s="31"/>
      <c r="H27" s="32"/>
      <c r="I27" s="33"/>
    </row>
    <row r="28" spans="1:9" ht="20.100000000000001" customHeight="1" x14ac:dyDescent="0.25">
      <c r="A28" s="27" t="s">
        <v>69</v>
      </c>
      <c r="B28" s="28" t="s">
        <v>140</v>
      </c>
      <c r="C28" s="29" t="s">
        <v>141</v>
      </c>
      <c r="D28" s="30" t="s">
        <v>142</v>
      </c>
      <c r="E28" s="31"/>
      <c r="F28" s="32" t="s">
        <v>73</v>
      </c>
      <c r="G28" s="31"/>
      <c r="H28" s="32"/>
      <c r="I28" s="33"/>
    </row>
    <row r="29" spans="1:9" ht="20.100000000000001" customHeight="1" x14ac:dyDescent="0.25">
      <c r="A29" s="27" t="s">
        <v>69</v>
      </c>
      <c r="B29" s="28" t="s">
        <v>143</v>
      </c>
      <c r="C29" s="29" t="s">
        <v>144</v>
      </c>
      <c r="D29" s="30" t="s">
        <v>145</v>
      </c>
      <c r="E29" s="31"/>
      <c r="F29" s="32" t="s">
        <v>73</v>
      </c>
      <c r="G29" s="31"/>
      <c r="H29" s="32"/>
      <c r="I29" s="33"/>
    </row>
    <row r="30" spans="1:9" ht="20.100000000000001" customHeight="1" x14ac:dyDescent="0.25">
      <c r="A30" s="27" t="s">
        <v>69</v>
      </c>
      <c r="B30" s="28" t="s">
        <v>146</v>
      </c>
      <c r="C30" s="29" t="s">
        <v>147</v>
      </c>
      <c r="D30" s="30" t="s">
        <v>148</v>
      </c>
      <c r="E30" s="31"/>
      <c r="F30" s="32" t="s">
        <v>73</v>
      </c>
      <c r="G30" s="31"/>
      <c r="H30" s="32"/>
      <c r="I30" s="33"/>
    </row>
    <row r="31" spans="1:9" ht="20.100000000000001" customHeight="1" x14ac:dyDescent="0.25">
      <c r="A31" s="27" t="s">
        <v>69</v>
      </c>
      <c r="B31" s="28" t="s">
        <v>149</v>
      </c>
      <c r="C31" s="29" t="s">
        <v>150</v>
      </c>
      <c r="D31" s="30" t="s">
        <v>151</v>
      </c>
      <c r="E31" s="31"/>
      <c r="F31" s="32" t="s">
        <v>73</v>
      </c>
      <c r="G31" s="31"/>
      <c r="H31" s="32"/>
      <c r="I31" s="33"/>
    </row>
    <row r="32" spans="1:9" ht="20.100000000000001" customHeight="1" x14ac:dyDescent="0.25">
      <c r="A32" s="27" t="s">
        <v>69</v>
      </c>
      <c r="B32" s="28" t="s">
        <v>152</v>
      </c>
      <c r="C32" s="29" t="s">
        <v>153</v>
      </c>
      <c r="D32" s="30" t="s">
        <v>154</v>
      </c>
      <c r="E32" s="31"/>
      <c r="F32" s="32" t="s">
        <v>73</v>
      </c>
      <c r="G32" s="31"/>
      <c r="H32" s="32"/>
      <c r="I32" s="33"/>
    </row>
    <row r="33" spans="1:9" ht="20.100000000000001" customHeight="1" x14ac:dyDescent="0.25">
      <c r="A33" s="27" t="s">
        <v>69</v>
      </c>
      <c r="B33" s="28" t="s">
        <v>155</v>
      </c>
      <c r="C33" s="29" t="s">
        <v>156</v>
      </c>
      <c r="D33" s="30" t="s">
        <v>157</v>
      </c>
      <c r="E33" s="31"/>
      <c r="F33" s="32" t="s">
        <v>73</v>
      </c>
      <c r="G33" s="31"/>
      <c r="H33" s="32"/>
      <c r="I33" s="33"/>
    </row>
    <row r="34" spans="1:9" ht="20.100000000000001" customHeight="1" x14ac:dyDescent="0.25">
      <c r="A34" s="27" t="s">
        <v>69</v>
      </c>
      <c r="B34" s="28" t="s">
        <v>158</v>
      </c>
      <c r="C34" s="29" t="s">
        <v>159</v>
      </c>
      <c r="D34" s="30" t="s">
        <v>160</v>
      </c>
      <c r="E34" s="31"/>
      <c r="F34" s="32" t="s">
        <v>73</v>
      </c>
      <c r="G34" s="31"/>
      <c r="H34" s="32"/>
      <c r="I34" s="33"/>
    </row>
    <row r="35" spans="1:9" ht="20.100000000000001" customHeight="1" x14ac:dyDescent="0.25">
      <c r="A35" s="27" t="s">
        <v>69</v>
      </c>
      <c r="B35" s="28" t="s">
        <v>161</v>
      </c>
      <c r="C35" s="29" t="s">
        <v>162</v>
      </c>
      <c r="D35" s="30" t="s">
        <v>163</v>
      </c>
      <c r="E35" s="31"/>
      <c r="F35" s="32" t="s">
        <v>73</v>
      </c>
      <c r="G35" s="31"/>
      <c r="H35" s="32"/>
      <c r="I35" s="33"/>
    </row>
    <row r="36" spans="1:9" ht="20.100000000000001" customHeight="1" x14ac:dyDescent="0.25">
      <c r="A36" s="27" t="s">
        <v>69</v>
      </c>
      <c r="B36" s="28" t="s">
        <v>164</v>
      </c>
      <c r="C36" s="29" t="s">
        <v>165</v>
      </c>
      <c r="D36" s="30" t="s">
        <v>166</v>
      </c>
      <c r="E36" s="31"/>
      <c r="F36" s="32" t="s">
        <v>73</v>
      </c>
      <c r="G36" s="31"/>
      <c r="H36" s="32"/>
      <c r="I36" s="33"/>
    </row>
    <row r="37" spans="1:9" ht="20.100000000000001" customHeight="1" x14ac:dyDescent="0.25">
      <c r="A37" s="27" t="s">
        <v>69</v>
      </c>
      <c r="B37" s="28" t="s">
        <v>167</v>
      </c>
      <c r="C37" s="29" t="s">
        <v>168</v>
      </c>
      <c r="D37" s="30" t="s">
        <v>169</v>
      </c>
      <c r="E37" s="31"/>
      <c r="F37" s="32" t="s">
        <v>73</v>
      </c>
      <c r="G37" s="31"/>
      <c r="H37" s="32"/>
      <c r="I37" s="33"/>
    </row>
    <row r="38" spans="1:9" ht="20.100000000000001" customHeight="1" x14ac:dyDescent="0.25">
      <c r="A38" s="27" t="s">
        <v>69</v>
      </c>
      <c r="B38" s="28" t="s">
        <v>170</v>
      </c>
      <c r="C38" s="29" t="s">
        <v>171</v>
      </c>
      <c r="D38" s="30" t="s">
        <v>172</v>
      </c>
      <c r="E38" s="31"/>
      <c r="F38" s="32" t="s">
        <v>73</v>
      </c>
      <c r="G38" s="31"/>
      <c r="H38" s="32"/>
      <c r="I38" s="33"/>
    </row>
    <row r="39" spans="1:9" ht="20.100000000000001" customHeight="1" x14ac:dyDescent="0.25">
      <c r="A39" s="27" t="s">
        <v>69</v>
      </c>
      <c r="B39" s="28" t="s">
        <v>173</v>
      </c>
      <c r="C39" s="29" t="s">
        <v>174</v>
      </c>
      <c r="D39" s="30" t="s">
        <v>175</v>
      </c>
      <c r="E39" s="31"/>
      <c r="F39" s="32" t="s">
        <v>73</v>
      </c>
      <c r="G39" s="31"/>
      <c r="H39" s="32"/>
      <c r="I39" s="33"/>
    </row>
    <row r="40" spans="1:9" ht="20.100000000000001" customHeight="1" x14ac:dyDescent="0.25">
      <c r="A40" s="27" t="s">
        <v>69</v>
      </c>
      <c r="B40" s="28" t="s">
        <v>176</v>
      </c>
      <c r="C40" s="29" t="s">
        <v>177</v>
      </c>
      <c r="D40" s="30" t="s">
        <v>178</v>
      </c>
      <c r="E40" s="31"/>
      <c r="F40" s="32" t="s">
        <v>73</v>
      </c>
      <c r="G40" s="31"/>
      <c r="H40" s="32"/>
      <c r="I40" s="33"/>
    </row>
    <row r="41" spans="1:9" ht="20.100000000000001" customHeight="1" x14ac:dyDescent="0.25">
      <c r="A41" s="27" t="s">
        <v>69</v>
      </c>
      <c r="B41" s="28" t="s">
        <v>179</v>
      </c>
      <c r="C41" s="29" t="s">
        <v>180</v>
      </c>
      <c r="D41" s="30" t="s">
        <v>181</v>
      </c>
      <c r="E41" s="31"/>
      <c r="F41" s="32" t="s">
        <v>73</v>
      </c>
      <c r="G41" s="31"/>
      <c r="H41" s="32"/>
      <c r="I41" s="33"/>
    </row>
    <row r="42" spans="1:9" ht="20.100000000000001" customHeight="1" x14ac:dyDescent="0.25">
      <c r="A42" s="27" t="s">
        <v>69</v>
      </c>
      <c r="B42" s="28" t="s">
        <v>182</v>
      </c>
      <c r="C42" s="29" t="s">
        <v>183</v>
      </c>
      <c r="D42" s="30" t="s">
        <v>184</v>
      </c>
      <c r="E42" s="31"/>
      <c r="F42" s="32" t="s">
        <v>73</v>
      </c>
      <c r="G42" s="31"/>
      <c r="H42" s="32"/>
      <c r="I42" s="33"/>
    </row>
    <row r="43" spans="1:9" ht="20.100000000000001" customHeight="1" x14ac:dyDescent="0.25">
      <c r="A43" s="27" t="s">
        <v>69</v>
      </c>
      <c r="B43" s="28" t="s">
        <v>185</v>
      </c>
      <c r="C43" s="29" t="s">
        <v>186</v>
      </c>
      <c r="D43" s="30" t="s">
        <v>187</v>
      </c>
      <c r="E43" s="31"/>
      <c r="F43" s="32" t="s">
        <v>73</v>
      </c>
      <c r="G43" s="31"/>
      <c r="H43" s="32"/>
      <c r="I43" s="33"/>
    </row>
    <row r="44" spans="1:9" ht="20.100000000000001" customHeight="1" x14ac:dyDescent="0.25">
      <c r="A44" s="27" t="s">
        <v>69</v>
      </c>
      <c r="B44" s="28" t="s">
        <v>188</v>
      </c>
      <c r="C44" s="29" t="s">
        <v>189</v>
      </c>
      <c r="D44" s="30" t="s">
        <v>190</v>
      </c>
      <c r="E44" s="31"/>
      <c r="F44" s="32" t="s">
        <v>73</v>
      </c>
      <c r="G44" s="31"/>
      <c r="H44" s="32"/>
      <c r="I44" s="33"/>
    </row>
    <row r="45" spans="1:9" ht="20.100000000000001" customHeight="1" x14ac:dyDescent="0.25">
      <c r="A45" s="34" t="s">
        <v>191</v>
      </c>
      <c r="B45" s="35" t="s">
        <v>192</v>
      </c>
      <c r="C45" s="36" t="s">
        <v>193</v>
      </c>
      <c r="D45" s="37" t="s">
        <v>194</v>
      </c>
      <c r="E45" s="31"/>
      <c r="F45" s="32" t="s">
        <v>73</v>
      </c>
      <c r="G45" s="31"/>
      <c r="H45" s="32"/>
      <c r="I45" s="33"/>
    </row>
    <row r="46" spans="1:9" ht="20.100000000000001" customHeight="1" x14ac:dyDescent="0.25">
      <c r="A46" s="34" t="s">
        <v>191</v>
      </c>
      <c r="B46" s="35" t="s">
        <v>195</v>
      </c>
      <c r="C46" s="36" t="s">
        <v>193</v>
      </c>
      <c r="D46" s="37" t="s">
        <v>194</v>
      </c>
      <c r="E46" s="31"/>
      <c r="F46" s="32" t="s">
        <v>73</v>
      </c>
      <c r="G46" s="31"/>
      <c r="H46" s="32"/>
      <c r="I46" s="33"/>
    </row>
    <row r="47" spans="1:9" ht="20.100000000000001" customHeight="1" x14ac:dyDescent="0.25">
      <c r="A47" s="34" t="s">
        <v>191</v>
      </c>
      <c r="B47" s="35" t="s">
        <v>196</v>
      </c>
      <c r="C47" s="36" t="s">
        <v>193</v>
      </c>
      <c r="D47" s="37" t="s">
        <v>194</v>
      </c>
      <c r="E47" s="31"/>
      <c r="F47" s="32" t="s">
        <v>73</v>
      </c>
      <c r="G47" s="31"/>
      <c r="H47" s="32"/>
      <c r="I47" s="33"/>
    </row>
    <row r="48" spans="1:9" ht="20.100000000000001" customHeight="1" x14ac:dyDescent="0.25">
      <c r="A48" s="34" t="s">
        <v>191</v>
      </c>
      <c r="B48" s="35" t="s">
        <v>86</v>
      </c>
      <c r="C48" s="36" t="s">
        <v>197</v>
      </c>
      <c r="D48" s="37" t="s">
        <v>198</v>
      </c>
      <c r="E48" s="31"/>
      <c r="F48" s="32" t="s">
        <v>73</v>
      </c>
      <c r="G48" s="31"/>
      <c r="H48" s="32"/>
      <c r="I48" s="33"/>
    </row>
    <row r="49" spans="1:9" ht="20.100000000000001" customHeight="1" x14ac:dyDescent="0.25">
      <c r="A49" s="34" t="s">
        <v>191</v>
      </c>
      <c r="B49" s="35" t="s">
        <v>89</v>
      </c>
      <c r="C49" s="36" t="s">
        <v>197</v>
      </c>
      <c r="D49" s="37" t="s">
        <v>198</v>
      </c>
      <c r="E49" s="31"/>
      <c r="F49" s="32" t="s">
        <v>73</v>
      </c>
      <c r="G49" s="31"/>
      <c r="H49" s="32"/>
      <c r="I49" s="33"/>
    </row>
    <row r="50" spans="1:9" ht="20.100000000000001" customHeight="1" x14ac:dyDescent="0.25">
      <c r="A50" s="34" t="s">
        <v>191</v>
      </c>
      <c r="B50" s="35" t="s">
        <v>92</v>
      </c>
      <c r="C50" s="36" t="s">
        <v>197</v>
      </c>
      <c r="D50" s="37" t="s">
        <v>198</v>
      </c>
      <c r="E50" s="31"/>
      <c r="F50" s="32" t="s">
        <v>73</v>
      </c>
      <c r="G50" s="31"/>
      <c r="H50" s="32"/>
      <c r="I50" s="33"/>
    </row>
    <row r="51" spans="1:9" ht="20.100000000000001" customHeight="1" x14ac:dyDescent="0.25">
      <c r="A51" s="34" t="s">
        <v>191</v>
      </c>
      <c r="B51" s="35" t="s">
        <v>199</v>
      </c>
      <c r="C51" s="36" t="s">
        <v>200</v>
      </c>
      <c r="D51" s="37" t="s">
        <v>201</v>
      </c>
      <c r="E51" s="31"/>
      <c r="F51" s="32" t="s">
        <v>73</v>
      </c>
      <c r="G51" s="31"/>
      <c r="H51" s="32"/>
      <c r="I51" s="33"/>
    </row>
    <row r="52" spans="1:9" ht="20.100000000000001" customHeight="1" x14ac:dyDescent="0.25">
      <c r="A52" s="34" t="s">
        <v>191</v>
      </c>
      <c r="B52" s="35" t="s">
        <v>202</v>
      </c>
      <c r="C52" s="36" t="s">
        <v>200</v>
      </c>
      <c r="D52" s="37" t="s">
        <v>201</v>
      </c>
      <c r="E52" s="31"/>
      <c r="F52" s="32" t="s">
        <v>73</v>
      </c>
      <c r="G52" s="31"/>
      <c r="H52" s="32"/>
      <c r="I52" s="33"/>
    </row>
    <row r="53" spans="1:9" ht="20.100000000000001" customHeight="1" x14ac:dyDescent="0.25">
      <c r="A53" s="34" t="s">
        <v>191</v>
      </c>
      <c r="B53" s="35" t="s">
        <v>203</v>
      </c>
      <c r="C53" s="36" t="s">
        <v>200</v>
      </c>
      <c r="D53" s="37" t="s">
        <v>201</v>
      </c>
      <c r="E53" s="31"/>
      <c r="F53" s="32" t="s">
        <v>73</v>
      </c>
      <c r="G53" s="31"/>
      <c r="H53" s="32"/>
      <c r="I53" s="33"/>
    </row>
    <row r="54" spans="1:9" ht="20.100000000000001" customHeight="1" x14ac:dyDescent="0.25">
      <c r="A54" s="34" t="s">
        <v>191</v>
      </c>
      <c r="B54" s="35" t="s">
        <v>204</v>
      </c>
      <c r="C54" s="36" t="s">
        <v>205</v>
      </c>
      <c r="D54" s="37" t="s">
        <v>206</v>
      </c>
      <c r="E54" s="31"/>
      <c r="F54" s="32" t="s">
        <v>73</v>
      </c>
      <c r="G54" s="31"/>
      <c r="H54" s="32"/>
      <c r="I54" s="33"/>
    </row>
    <row r="55" spans="1:9" ht="20.100000000000001" customHeight="1" x14ac:dyDescent="0.25">
      <c r="A55" s="34" t="s">
        <v>191</v>
      </c>
      <c r="B55" s="35" t="s">
        <v>207</v>
      </c>
      <c r="C55" s="36" t="s">
        <v>205</v>
      </c>
      <c r="D55" s="37" t="s">
        <v>206</v>
      </c>
      <c r="E55" s="31"/>
      <c r="F55" s="32" t="s">
        <v>73</v>
      </c>
      <c r="G55" s="31"/>
      <c r="H55" s="32"/>
      <c r="I55" s="33"/>
    </row>
    <row r="56" spans="1:9" ht="20.100000000000001" customHeight="1" x14ac:dyDescent="0.25">
      <c r="A56" s="34" t="s">
        <v>191</v>
      </c>
      <c r="B56" s="35" t="s">
        <v>208</v>
      </c>
      <c r="C56" s="36" t="s">
        <v>205</v>
      </c>
      <c r="D56" s="37" t="s">
        <v>206</v>
      </c>
      <c r="E56" s="31"/>
      <c r="F56" s="32" t="s">
        <v>73</v>
      </c>
      <c r="G56" s="31"/>
      <c r="H56" s="32"/>
      <c r="I56" s="33"/>
    </row>
    <row r="57" spans="1:9" ht="20.100000000000001" customHeight="1" x14ac:dyDescent="0.25">
      <c r="A57" s="34" t="s">
        <v>191</v>
      </c>
      <c r="B57" s="35" t="s">
        <v>209</v>
      </c>
      <c r="C57" s="36" t="s">
        <v>210</v>
      </c>
      <c r="D57" s="37" t="s">
        <v>211</v>
      </c>
      <c r="E57" s="31"/>
      <c r="F57" s="32" t="s">
        <v>73</v>
      </c>
      <c r="G57" s="31"/>
      <c r="H57" s="32"/>
      <c r="I57" s="33"/>
    </row>
    <row r="58" spans="1:9" ht="20.100000000000001" customHeight="1" x14ac:dyDescent="0.25">
      <c r="A58" s="34" t="s">
        <v>191</v>
      </c>
      <c r="B58" s="35" t="s">
        <v>212</v>
      </c>
      <c r="C58" s="36" t="s">
        <v>210</v>
      </c>
      <c r="D58" s="37" t="s">
        <v>211</v>
      </c>
      <c r="E58" s="31"/>
      <c r="F58" s="32" t="s">
        <v>73</v>
      </c>
      <c r="G58" s="31"/>
      <c r="H58" s="32"/>
      <c r="I58" s="33"/>
    </row>
    <row r="59" spans="1:9" ht="20.100000000000001" customHeight="1" x14ac:dyDescent="0.25">
      <c r="A59" s="34" t="s">
        <v>191</v>
      </c>
      <c r="B59" s="35" t="s">
        <v>213</v>
      </c>
      <c r="C59" s="36" t="s">
        <v>210</v>
      </c>
      <c r="D59" s="37" t="s">
        <v>211</v>
      </c>
      <c r="E59" s="31"/>
      <c r="F59" s="32" t="s">
        <v>73</v>
      </c>
      <c r="G59" s="31"/>
      <c r="H59" s="32"/>
      <c r="I59" s="33"/>
    </row>
    <row r="60" spans="1:9" ht="20.100000000000001" customHeight="1" x14ac:dyDescent="0.25">
      <c r="A60" s="27" t="s">
        <v>214</v>
      </c>
      <c r="B60" s="28" t="s">
        <v>215</v>
      </c>
      <c r="C60" s="29" t="s">
        <v>216</v>
      </c>
      <c r="D60" s="30" t="s">
        <v>198</v>
      </c>
      <c r="E60" s="31"/>
      <c r="F60" s="32" t="s">
        <v>73</v>
      </c>
      <c r="G60" s="31"/>
      <c r="H60" s="32"/>
      <c r="I60" s="33"/>
    </row>
    <row r="61" spans="1:9" ht="20.100000000000001" customHeight="1" x14ac:dyDescent="0.25">
      <c r="A61" s="27" t="s">
        <v>214</v>
      </c>
      <c r="B61" s="28" t="s">
        <v>217</v>
      </c>
      <c r="C61" s="29" t="s">
        <v>216</v>
      </c>
      <c r="D61" s="30" t="s">
        <v>198</v>
      </c>
      <c r="E61" s="31"/>
      <c r="F61" s="32" t="s">
        <v>73</v>
      </c>
      <c r="G61" s="31"/>
      <c r="H61" s="32"/>
      <c r="I61" s="33"/>
    </row>
    <row r="62" spans="1:9" ht="20.100000000000001" customHeight="1" x14ac:dyDescent="0.25">
      <c r="A62" s="27" t="s">
        <v>214</v>
      </c>
      <c r="B62" s="28" t="s">
        <v>218</v>
      </c>
      <c r="C62" s="29" t="s">
        <v>216</v>
      </c>
      <c r="D62" s="30" t="s">
        <v>198</v>
      </c>
      <c r="E62" s="31"/>
      <c r="F62" s="32" t="s">
        <v>73</v>
      </c>
      <c r="G62" s="31"/>
      <c r="H62" s="32"/>
      <c r="I62" s="33"/>
    </row>
    <row r="63" spans="1:9" ht="20.100000000000001" customHeight="1" x14ac:dyDescent="0.25">
      <c r="A63" s="27" t="s">
        <v>214</v>
      </c>
      <c r="B63" s="28" t="s">
        <v>219</v>
      </c>
      <c r="C63" s="29" t="s">
        <v>220</v>
      </c>
      <c r="D63" s="30" t="s">
        <v>221</v>
      </c>
      <c r="E63" s="31"/>
      <c r="F63" s="32" t="s">
        <v>73</v>
      </c>
      <c r="G63" s="31"/>
      <c r="H63" s="32"/>
      <c r="I63" s="33"/>
    </row>
    <row r="64" spans="1:9" ht="20.100000000000001" customHeight="1" x14ac:dyDescent="0.25">
      <c r="A64" s="27" t="s">
        <v>214</v>
      </c>
      <c r="B64" s="28" t="s">
        <v>222</v>
      </c>
      <c r="C64" s="29" t="s">
        <v>220</v>
      </c>
      <c r="D64" s="30" t="s">
        <v>221</v>
      </c>
      <c r="E64" s="31"/>
      <c r="F64" s="32" t="s">
        <v>73</v>
      </c>
      <c r="G64" s="31"/>
      <c r="H64" s="32"/>
      <c r="I64" s="33"/>
    </row>
    <row r="65" spans="1:9" ht="20.100000000000001" customHeight="1" x14ac:dyDescent="0.25">
      <c r="A65" s="27" t="s">
        <v>214</v>
      </c>
      <c r="B65" s="28" t="s">
        <v>223</v>
      </c>
      <c r="C65" s="29" t="s">
        <v>220</v>
      </c>
      <c r="D65" s="30" t="s">
        <v>221</v>
      </c>
      <c r="E65" s="31"/>
      <c r="F65" s="32" t="s">
        <v>73</v>
      </c>
      <c r="G65" s="31"/>
      <c r="H65" s="32"/>
      <c r="I65" s="33"/>
    </row>
    <row r="66" spans="1:9" ht="20.100000000000001" customHeight="1" x14ac:dyDescent="0.25">
      <c r="A66" s="27" t="s">
        <v>214</v>
      </c>
      <c r="B66" s="28" t="s">
        <v>224</v>
      </c>
      <c r="C66" s="29" t="s">
        <v>225</v>
      </c>
      <c r="D66" s="30" t="s">
        <v>211</v>
      </c>
      <c r="E66" s="31"/>
      <c r="F66" s="32" t="s">
        <v>73</v>
      </c>
      <c r="G66" s="31"/>
      <c r="H66" s="32"/>
      <c r="I66" s="33"/>
    </row>
    <row r="67" spans="1:9" ht="20.100000000000001" customHeight="1" x14ac:dyDescent="0.25">
      <c r="A67" s="27" t="s">
        <v>214</v>
      </c>
      <c r="B67" s="28" t="s">
        <v>226</v>
      </c>
      <c r="C67" s="29" t="s">
        <v>225</v>
      </c>
      <c r="D67" s="30" t="s">
        <v>211</v>
      </c>
      <c r="E67" s="31"/>
      <c r="F67" s="32" t="s">
        <v>73</v>
      </c>
      <c r="G67" s="31"/>
      <c r="H67" s="32"/>
      <c r="I67" s="33"/>
    </row>
    <row r="68" spans="1:9" ht="20.100000000000001" customHeight="1" x14ac:dyDescent="0.25">
      <c r="A68" s="27" t="s">
        <v>214</v>
      </c>
      <c r="B68" s="28" t="s">
        <v>227</v>
      </c>
      <c r="C68" s="29" t="s">
        <v>225</v>
      </c>
      <c r="D68" s="30" t="s">
        <v>211</v>
      </c>
      <c r="E68" s="31"/>
      <c r="F68" s="32" t="s">
        <v>73</v>
      </c>
      <c r="G68" s="31"/>
      <c r="H68" s="32"/>
      <c r="I68" s="33"/>
    </row>
    <row r="69" spans="1:9" ht="20.100000000000001" customHeight="1" x14ac:dyDescent="0.25">
      <c r="A69" s="27" t="s">
        <v>214</v>
      </c>
      <c r="B69" s="28" t="s">
        <v>228</v>
      </c>
      <c r="C69" s="29" t="s">
        <v>229</v>
      </c>
      <c r="D69" s="30" t="s">
        <v>206</v>
      </c>
      <c r="E69" s="31"/>
      <c r="F69" s="32" t="s">
        <v>73</v>
      </c>
      <c r="G69" s="31"/>
      <c r="H69" s="32"/>
      <c r="I69" s="33"/>
    </row>
    <row r="70" spans="1:9" ht="20.100000000000001" customHeight="1" x14ac:dyDescent="0.25">
      <c r="A70" s="27" t="s">
        <v>214</v>
      </c>
      <c r="B70" s="28" t="s">
        <v>230</v>
      </c>
      <c r="C70" s="29" t="s">
        <v>229</v>
      </c>
      <c r="D70" s="30" t="s">
        <v>206</v>
      </c>
      <c r="E70" s="31"/>
      <c r="F70" s="32" t="s">
        <v>73</v>
      </c>
      <c r="G70" s="31"/>
      <c r="H70" s="32"/>
      <c r="I70" s="33"/>
    </row>
    <row r="71" spans="1:9" ht="20.100000000000001" customHeight="1" x14ac:dyDescent="0.25">
      <c r="A71" s="27" t="s">
        <v>214</v>
      </c>
      <c r="B71" s="28" t="s">
        <v>231</v>
      </c>
      <c r="C71" s="29" t="s">
        <v>229</v>
      </c>
      <c r="D71" s="30" t="s">
        <v>206</v>
      </c>
      <c r="E71" s="31"/>
      <c r="F71" s="32" t="s">
        <v>73</v>
      </c>
      <c r="G71" s="31"/>
      <c r="H71" s="32"/>
      <c r="I71" s="33"/>
    </row>
    <row r="72" spans="1:9" ht="20.100000000000001" customHeight="1" x14ac:dyDescent="0.25">
      <c r="A72" s="34" t="s">
        <v>26</v>
      </c>
      <c r="B72" s="35" t="s">
        <v>232</v>
      </c>
      <c r="C72" s="36" t="s">
        <v>233</v>
      </c>
      <c r="D72" s="37" t="s">
        <v>234</v>
      </c>
      <c r="E72" s="31"/>
      <c r="F72" s="32" t="s">
        <v>73</v>
      </c>
      <c r="G72" s="31"/>
      <c r="H72" s="32"/>
      <c r="I72" s="33"/>
    </row>
    <row r="73" spans="1:9" ht="20.100000000000001" customHeight="1" x14ac:dyDescent="0.25">
      <c r="A73" s="34" t="s">
        <v>26</v>
      </c>
      <c r="B73" s="35" t="s">
        <v>235</v>
      </c>
      <c r="C73" s="36" t="s">
        <v>236</v>
      </c>
      <c r="D73" s="37" t="s">
        <v>237</v>
      </c>
      <c r="E73" s="31"/>
      <c r="F73" s="32" t="s">
        <v>73</v>
      </c>
      <c r="G73" s="31"/>
      <c r="H73" s="32"/>
      <c r="I73" s="33"/>
    </row>
    <row r="74" spans="1:9" ht="20.100000000000001" customHeight="1" x14ac:dyDescent="0.25">
      <c r="A74" s="34" t="s">
        <v>26</v>
      </c>
      <c r="B74" s="35" t="s">
        <v>238</v>
      </c>
      <c r="C74" s="36" t="s">
        <v>239</v>
      </c>
      <c r="D74" s="37" t="s">
        <v>240</v>
      </c>
      <c r="E74" s="31"/>
      <c r="F74" s="32" t="s">
        <v>73</v>
      </c>
      <c r="G74" s="31"/>
      <c r="H74" s="32"/>
      <c r="I74" s="33"/>
    </row>
    <row r="75" spans="1:9" ht="20.100000000000001" customHeight="1" x14ac:dyDescent="0.25">
      <c r="A75" s="34" t="s">
        <v>26</v>
      </c>
      <c r="B75" s="35" t="s">
        <v>241</v>
      </c>
      <c r="C75" s="36" t="s">
        <v>242</v>
      </c>
      <c r="D75" s="37" t="s">
        <v>237</v>
      </c>
      <c r="E75" s="31"/>
      <c r="F75" s="32" t="s">
        <v>73</v>
      </c>
      <c r="G75" s="31"/>
      <c r="H75" s="32"/>
      <c r="I75" s="33"/>
    </row>
    <row r="76" spans="1:9" ht="20.100000000000001" customHeight="1" x14ac:dyDescent="0.25">
      <c r="A76" s="34" t="s">
        <v>26</v>
      </c>
      <c r="B76" s="35" t="s">
        <v>243</v>
      </c>
      <c r="C76" s="36" t="s">
        <v>244</v>
      </c>
      <c r="D76" s="37" t="s">
        <v>240</v>
      </c>
      <c r="E76" s="31"/>
      <c r="F76" s="32" t="s">
        <v>73</v>
      </c>
      <c r="G76" s="31"/>
      <c r="H76" s="32"/>
      <c r="I76" s="33"/>
    </row>
    <row r="77" spans="1:9" ht="20.100000000000001" customHeight="1" x14ac:dyDescent="0.25">
      <c r="A77" s="34" t="s">
        <v>26</v>
      </c>
      <c r="B77" s="35" t="s">
        <v>245</v>
      </c>
      <c r="C77" s="36" t="s">
        <v>246</v>
      </c>
      <c r="D77" s="37" t="s">
        <v>247</v>
      </c>
      <c r="E77" s="31"/>
      <c r="F77" s="32" t="s">
        <v>73</v>
      </c>
      <c r="G77" s="31"/>
      <c r="H77" s="32"/>
      <c r="I77" s="33"/>
    </row>
    <row r="78" spans="1:9" ht="20.100000000000001" customHeight="1" x14ac:dyDescent="0.25">
      <c r="A78" s="34" t="s">
        <v>26</v>
      </c>
      <c r="B78" s="35" t="s">
        <v>248</v>
      </c>
      <c r="C78" s="36" t="s">
        <v>249</v>
      </c>
      <c r="D78" s="37" t="s">
        <v>250</v>
      </c>
      <c r="E78" s="31"/>
      <c r="F78" s="32" t="s">
        <v>73</v>
      </c>
      <c r="G78" s="31"/>
      <c r="H78" s="32"/>
      <c r="I78" s="33"/>
    </row>
    <row r="79" spans="1:9" ht="20.100000000000001" customHeight="1" x14ac:dyDescent="0.25">
      <c r="A79" s="34" t="s">
        <v>26</v>
      </c>
      <c r="B79" s="35" t="s">
        <v>251</v>
      </c>
      <c r="C79" s="36" t="s">
        <v>252</v>
      </c>
      <c r="D79" s="37" t="s">
        <v>234</v>
      </c>
      <c r="E79" s="31"/>
      <c r="F79" s="32" t="s">
        <v>73</v>
      </c>
      <c r="G79" s="31"/>
      <c r="H79" s="32"/>
      <c r="I79" s="33"/>
    </row>
    <row r="80" spans="1:9" ht="20.100000000000001" customHeight="1" x14ac:dyDescent="0.25">
      <c r="A80" s="34" t="s">
        <v>26</v>
      </c>
      <c r="B80" s="35" t="s">
        <v>253</v>
      </c>
      <c r="C80" s="36" t="s">
        <v>254</v>
      </c>
      <c r="D80" s="37" t="s">
        <v>250</v>
      </c>
      <c r="E80" s="31"/>
      <c r="F80" s="32" t="s">
        <v>73</v>
      </c>
      <c r="G80" s="31"/>
      <c r="H80" s="32"/>
      <c r="I80" s="33"/>
    </row>
    <row r="81" spans="1:9" ht="20.100000000000001" customHeight="1" x14ac:dyDescent="0.25">
      <c r="A81" s="34" t="s">
        <v>26</v>
      </c>
      <c r="B81" s="35" t="s">
        <v>255</v>
      </c>
      <c r="C81" s="36" t="s">
        <v>256</v>
      </c>
      <c r="D81" s="37" t="s">
        <v>234</v>
      </c>
      <c r="E81" s="31"/>
      <c r="F81" s="32" t="s">
        <v>73</v>
      </c>
      <c r="G81" s="31"/>
      <c r="H81" s="32"/>
      <c r="I81" s="33"/>
    </row>
    <row r="82" spans="1:9" ht="20.100000000000001" customHeight="1" x14ac:dyDescent="0.25">
      <c r="A82" s="34" t="s">
        <v>26</v>
      </c>
      <c r="B82" s="35" t="s">
        <v>257</v>
      </c>
      <c r="C82" s="36" t="s">
        <v>258</v>
      </c>
      <c r="D82" s="37" t="s">
        <v>250</v>
      </c>
      <c r="E82" s="31"/>
      <c r="F82" s="32" t="s">
        <v>73</v>
      </c>
      <c r="G82" s="31"/>
      <c r="H82" s="32"/>
      <c r="I82" s="33"/>
    </row>
    <row r="83" spans="1:9" ht="20.100000000000001" customHeight="1" x14ac:dyDescent="0.25">
      <c r="A83" s="34" t="s">
        <v>26</v>
      </c>
      <c r="B83" s="35" t="s">
        <v>259</v>
      </c>
      <c r="C83" s="36" t="s">
        <v>260</v>
      </c>
      <c r="D83" s="37" t="s">
        <v>234</v>
      </c>
      <c r="E83" s="31"/>
      <c r="F83" s="32" t="s">
        <v>73</v>
      </c>
      <c r="G83" s="31"/>
      <c r="H83" s="32"/>
      <c r="I83" s="33"/>
    </row>
    <row r="84" spans="1:9" ht="20.100000000000001" customHeight="1" x14ac:dyDescent="0.25">
      <c r="A84" s="34" t="s">
        <v>26</v>
      </c>
      <c r="B84" s="35" t="s">
        <v>261</v>
      </c>
      <c r="C84" s="36" t="s">
        <v>262</v>
      </c>
      <c r="D84" s="37" t="s">
        <v>263</v>
      </c>
      <c r="E84" s="31"/>
      <c r="F84" s="32" t="s">
        <v>73</v>
      </c>
      <c r="G84" s="31"/>
      <c r="H84" s="32"/>
      <c r="I84" s="33"/>
    </row>
    <row r="85" spans="1:9" ht="20.100000000000001" customHeight="1" x14ac:dyDescent="0.25">
      <c r="A85" s="34" t="s">
        <v>26</v>
      </c>
      <c r="B85" s="35" t="s">
        <v>264</v>
      </c>
      <c r="C85" s="36" t="s">
        <v>265</v>
      </c>
      <c r="D85" s="37" t="s">
        <v>263</v>
      </c>
      <c r="E85" s="31"/>
      <c r="F85" s="32" t="s">
        <v>73</v>
      </c>
      <c r="G85" s="31"/>
      <c r="H85" s="32"/>
      <c r="I85" s="33"/>
    </row>
    <row r="86" spans="1:9" ht="20.100000000000001" customHeight="1" x14ac:dyDescent="0.25">
      <c r="A86" s="34" t="s">
        <v>26</v>
      </c>
      <c r="B86" s="35" t="s">
        <v>266</v>
      </c>
      <c r="C86" s="36" t="s">
        <v>267</v>
      </c>
      <c r="D86" s="37" t="s">
        <v>240</v>
      </c>
      <c r="E86" s="31"/>
      <c r="F86" s="32" t="s">
        <v>73</v>
      </c>
      <c r="G86" s="31"/>
      <c r="H86" s="32"/>
      <c r="I86" s="33"/>
    </row>
    <row r="87" spans="1:9" ht="20.100000000000001" customHeight="1" x14ac:dyDescent="0.25">
      <c r="A87" s="34" t="s">
        <v>26</v>
      </c>
      <c r="B87" s="35" t="s">
        <v>268</v>
      </c>
      <c r="C87" s="36" t="s">
        <v>269</v>
      </c>
      <c r="D87" s="37" t="s">
        <v>240</v>
      </c>
      <c r="E87" s="31"/>
      <c r="F87" s="32" t="s">
        <v>73</v>
      </c>
      <c r="G87" s="31"/>
      <c r="H87" s="32"/>
      <c r="I87" s="33"/>
    </row>
    <row r="88" spans="1:9" ht="20.100000000000001" customHeight="1" x14ac:dyDescent="0.25">
      <c r="A88" s="34" t="s">
        <v>26</v>
      </c>
      <c r="B88" s="35" t="s">
        <v>270</v>
      </c>
      <c r="C88" s="36" t="s">
        <v>271</v>
      </c>
      <c r="D88" s="37" t="s">
        <v>240</v>
      </c>
      <c r="E88" s="31"/>
      <c r="F88" s="32" t="s">
        <v>73</v>
      </c>
      <c r="G88" s="31"/>
      <c r="H88" s="32"/>
      <c r="I88" s="33"/>
    </row>
    <row r="89" spans="1:9" ht="20.100000000000001" customHeight="1" x14ac:dyDescent="0.25">
      <c r="A89" s="27" t="s">
        <v>272</v>
      </c>
      <c r="B89" s="28" t="s">
        <v>273</v>
      </c>
      <c r="C89" s="29" t="s">
        <v>274</v>
      </c>
      <c r="D89" s="30" t="s">
        <v>275</v>
      </c>
      <c r="E89" s="31"/>
      <c r="F89" s="32" t="s">
        <v>73</v>
      </c>
      <c r="G89" s="31"/>
      <c r="H89" s="32"/>
      <c r="I89" s="33"/>
    </row>
    <row r="90" spans="1:9" ht="20.100000000000001" customHeight="1" x14ac:dyDescent="0.25">
      <c r="A90" s="27" t="s">
        <v>272</v>
      </c>
      <c r="B90" s="28" t="s">
        <v>276</v>
      </c>
      <c r="C90" s="29" t="s">
        <v>277</v>
      </c>
      <c r="D90" s="30" t="s">
        <v>278</v>
      </c>
      <c r="E90" s="31"/>
      <c r="F90" s="32" t="s">
        <v>73</v>
      </c>
      <c r="G90" s="31"/>
      <c r="H90" s="32"/>
      <c r="I90" s="33"/>
    </row>
    <row r="91" spans="1:9" ht="20.100000000000001" customHeight="1" x14ac:dyDescent="0.25">
      <c r="A91" s="27" t="s">
        <v>272</v>
      </c>
      <c r="B91" s="28" t="s">
        <v>279</v>
      </c>
      <c r="C91" s="29" t="s">
        <v>280</v>
      </c>
      <c r="D91" s="30" t="s">
        <v>275</v>
      </c>
      <c r="E91" s="31"/>
      <c r="F91" s="32" t="s">
        <v>73</v>
      </c>
      <c r="G91" s="31"/>
      <c r="H91" s="32"/>
      <c r="I91" s="33"/>
    </row>
    <row r="92" spans="1:9" ht="20.100000000000001" customHeight="1" x14ac:dyDescent="0.25">
      <c r="A92" s="27" t="s">
        <v>272</v>
      </c>
      <c r="B92" s="28" t="s">
        <v>281</v>
      </c>
      <c r="C92" s="29" t="s">
        <v>282</v>
      </c>
      <c r="D92" s="30" t="s">
        <v>278</v>
      </c>
      <c r="E92" s="31"/>
      <c r="F92" s="32" t="s">
        <v>73</v>
      </c>
      <c r="G92" s="31"/>
      <c r="H92" s="32"/>
      <c r="I92" s="33"/>
    </row>
    <row r="93" spans="1:9" ht="20.100000000000001" customHeight="1" x14ac:dyDescent="0.25">
      <c r="A93" s="27" t="s">
        <v>272</v>
      </c>
      <c r="B93" s="28" t="s">
        <v>283</v>
      </c>
      <c r="C93" s="29" t="s">
        <v>284</v>
      </c>
      <c r="D93" s="30" t="s">
        <v>278</v>
      </c>
      <c r="E93" s="31"/>
      <c r="F93" s="32" t="s">
        <v>73</v>
      </c>
      <c r="G93" s="31"/>
      <c r="H93" s="32"/>
      <c r="I93" s="33"/>
    </row>
    <row r="94" spans="1:9" ht="20.100000000000001" customHeight="1" x14ac:dyDescent="0.25">
      <c r="A94" s="27" t="s">
        <v>272</v>
      </c>
      <c r="B94" s="28" t="s">
        <v>285</v>
      </c>
      <c r="C94" s="29" t="s">
        <v>286</v>
      </c>
      <c r="D94" s="30" t="s">
        <v>275</v>
      </c>
      <c r="E94" s="31"/>
      <c r="F94" s="32" t="s">
        <v>73</v>
      </c>
      <c r="G94" s="31"/>
      <c r="H94" s="32"/>
      <c r="I94" s="33"/>
    </row>
    <row r="95" spans="1:9" ht="20.100000000000001" customHeight="1" x14ac:dyDescent="0.25">
      <c r="A95" s="27" t="s">
        <v>272</v>
      </c>
      <c r="B95" s="28" t="s">
        <v>287</v>
      </c>
      <c r="C95" s="29" t="s">
        <v>288</v>
      </c>
      <c r="D95" s="30" t="s">
        <v>289</v>
      </c>
      <c r="E95" s="31"/>
      <c r="F95" s="32" t="s">
        <v>73</v>
      </c>
      <c r="G95" s="31"/>
      <c r="H95" s="32"/>
      <c r="I95" s="33"/>
    </row>
    <row r="96" spans="1:9" ht="20.100000000000001" customHeight="1" x14ac:dyDescent="0.25">
      <c r="A96" s="27" t="s">
        <v>272</v>
      </c>
      <c r="B96" s="28" t="s">
        <v>290</v>
      </c>
      <c r="C96" s="29" t="s">
        <v>291</v>
      </c>
      <c r="D96" s="30" t="s">
        <v>275</v>
      </c>
      <c r="E96" s="31"/>
      <c r="F96" s="32" t="s">
        <v>73</v>
      </c>
      <c r="G96" s="31"/>
      <c r="H96" s="32"/>
      <c r="I96" s="33"/>
    </row>
    <row r="97" spans="1:9" ht="20.100000000000001" customHeight="1" x14ac:dyDescent="0.25">
      <c r="A97" s="27" t="s">
        <v>272</v>
      </c>
      <c r="B97" s="28" t="s">
        <v>292</v>
      </c>
      <c r="C97" s="29" t="s">
        <v>293</v>
      </c>
      <c r="D97" s="30" t="s">
        <v>294</v>
      </c>
      <c r="E97" s="31"/>
      <c r="F97" s="32" t="s">
        <v>73</v>
      </c>
      <c r="G97" s="31"/>
      <c r="H97" s="32"/>
      <c r="I97" s="33"/>
    </row>
    <row r="98" spans="1:9" ht="20.100000000000001" customHeight="1" x14ac:dyDescent="0.25">
      <c r="A98" s="27" t="s">
        <v>272</v>
      </c>
      <c r="B98" s="28" t="s">
        <v>295</v>
      </c>
      <c r="C98" s="29" t="s">
        <v>296</v>
      </c>
      <c r="D98" s="30" t="s">
        <v>297</v>
      </c>
      <c r="E98" s="31"/>
      <c r="F98" s="32" t="s">
        <v>73</v>
      </c>
      <c r="G98" s="31"/>
      <c r="H98" s="32"/>
      <c r="I98" s="33"/>
    </row>
  </sheetData>
  <autoFilter ref="A4:I98" xr:uid="{00000000-0009-0000-0000-000002000000}"/>
  <conditionalFormatting sqref="F5:F98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1">
    <dataValidation type="list" allowBlank="1" sqref="F5:F205" xr:uid="{00000000-0002-0000-0200-000000000000}">
      <formula1>"Not started,Pass,Fail,Blocked,N/A"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Cost</vt:lpstr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IKIO</cp:lastModifiedBy>
  <dcterms:created xsi:type="dcterms:W3CDTF">2026-08-27T19:53:51Z</dcterms:created>
  <dcterms:modified xsi:type="dcterms:W3CDTF">2026-08-27T19:59:38Z</dcterms:modified>
</cp:coreProperties>
</file>