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Executive summary" sheetId="2" state="visible" r:id="rId2"/>
    <sheet xmlns:r="http://schemas.openxmlformats.org/officeDocument/2006/relationships" name="Stage by stage" sheetId="3" state="visible" r:id="rId3"/>
    <sheet xmlns:r="http://schemas.openxmlformats.org/officeDocument/2006/relationships" name="Tokens &amp; cost by step" sheetId="4" state="visible" r:id="rId4"/>
    <sheet xmlns:r="http://schemas.openxmlformats.org/officeDocument/2006/relationships" name="Tokens &amp; cost by project" sheetId="5" state="visible" r:id="rId5"/>
    <sheet xmlns:r="http://schemas.openxmlformats.org/officeDocument/2006/relationships" name="Where work is stuck" sheetId="6" state="visible" r:id="rId6"/>
    <sheet xmlns:r="http://schemas.openxmlformats.org/officeDocument/2006/relationships" name="Cost scaling" sheetId="7" state="visible" r:id="rId7"/>
    <sheet xmlns:r="http://schemas.openxmlformats.org/officeDocument/2006/relationships" name="Issues &amp; actions" sheetId="8" state="visible" r:id="rId8"/>
    <sheet xmlns:r="http://schemas.openxmlformats.org/officeDocument/2006/relationships" name="Test progress" sheetId="9" state="visible" r:id="rId9"/>
    <sheet xmlns:r="http://schemas.openxmlformats.org/officeDocument/2006/relationships" name="Test · Functional" sheetId="10" state="visible" r:id="rId10"/>
    <sheet xmlns:r="http://schemas.openxmlformats.org/officeDocument/2006/relationships" name="Test · Documents" sheetId="11" state="visible" r:id="rId11"/>
    <sheet xmlns:r="http://schemas.openxmlformats.org/officeDocument/2006/relationships" name="Test · Drawings" sheetId="12" state="visible" r:id="rId12"/>
    <sheet xmlns:r="http://schemas.openxmlformats.org/officeDocument/2006/relationships" name="Test · Tokens" sheetId="13" state="visible" r:id="rId13"/>
    <sheet xmlns:r="http://schemas.openxmlformats.org/officeDocument/2006/relationships" name="Test · Accuracy" sheetId="14" state="visible" r:id="rId14"/>
    <sheet xmlns:r="http://schemas.openxmlformats.org/officeDocument/2006/relationships" name="Targets" sheetId="15" state="visible" r:id="rId15"/>
    <sheet xmlns:r="http://schemas.openxmlformats.org/officeDocument/2006/relationships" name="Test data needed" sheetId="16" state="visible" r:id="rId16"/>
    <sheet xmlns:r="http://schemas.openxmlformats.org/officeDocument/2006/relationships" name="Glossary" sheetId="17" state="visible" r:id="rId17"/>
  </sheets>
  <definedNames>
    <definedName name="_xlnm._FilterDatabase" localSheetId="2" hidden="1">'Stage by stage'!$A$5:$J$22</definedName>
    <definedName name="_xlnm._FilterDatabase" localSheetId="9" hidden="1">'Test · Functional'!$A$5:$K$45</definedName>
    <definedName name="_xlnm._FilterDatabase" localSheetId="10" hidden="1">'Test · Documents'!$A$5:$O$20</definedName>
    <definedName name="_xlnm._FilterDatabase" localSheetId="11" hidden="1">'Test · Drawings'!$A$5:$P$17</definedName>
  </definedNames>
  <calcPr calcId="124519" fullCalcOnLoad="1"/>
</workbook>
</file>

<file path=xl/styles.xml><?xml version="1.0" encoding="utf-8"?>
<styleSheet xmlns="http://schemas.openxmlformats.org/spreadsheetml/2006/main">
  <numFmts count="4">
    <numFmt numFmtId="164" formatCode="&quot;$&quot;#,##0.00"/>
    <numFmt numFmtId="165" formatCode="&quot;$&quot;#,##0.0000"/>
    <numFmt numFmtId="166" formatCode="0.0%"/>
    <numFmt numFmtId="167" formatCode="#,##0.0"/>
  </numFmts>
  <fonts count="23">
    <font>
      <name val="Calibri"/>
      <family val="2"/>
      <color theme="1"/>
      <sz val="11"/>
      <scheme val="minor"/>
    </font>
    <font>
      <name val="Calibri"/>
      <b val="1"/>
      <color rgb="FF13262E"/>
      <sz val="20"/>
    </font>
    <font>
      <name val="Calibri"/>
      <color rgb="FF4B646E"/>
      <sz val="11.5"/>
    </font>
    <font>
      <name val="Calibri"/>
      <b val="1"/>
      <color rgb="FF0B5E52"/>
      <sz val="10"/>
    </font>
    <font>
      <name val="Calibri"/>
      <b val="1"/>
      <color rgb="FF13262E"/>
      <sz val="11"/>
    </font>
    <font>
      <name val="Calibri"/>
      <b val="1"/>
      <color rgb="FF0B5E52"/>
      <sz val="11"/>
      <u val="single"/>
    </font>
    <font>
      <name val="Calibri"/>
      <color rgb="FF4B646E"/>
      <sz val="10"/>
    </font>
    <font>
      <name val="Calibri"/>
      <b val="1"/>
      <color rgb="FF0B5E52"/>
      <sz val="13"/>
    </font>
    <font>
      <name val="Calibri"/>
      <b val="1"/>
      <color rgb="FF13262E"/>
      <sz val="10.5"/>
    </font>
    <font>
      <name val="Calibri"/>
      <color rgb="FF4B646E"/>
      <sz val="9.5"/>
      <u val="single"/>
    </font>
    <font>
      <name val="Calibri"/>
      <color rgb="FF13262E"/>
      <sz val="10.5"/>
    </font>
    <font>
      <name val="Calibri"/>
      <b val="1"/>
      <color rgb="FF13262E"/>
      <sz val="24"/>
    </font>
    <font>
      <name val="Calibri"/>
      <b val="1"/>
      <color rgb="FFA32A20"/>
      <sz val="13"/>
    </font>
    <font>
      <name val="Calibri"/>
      <b val="1"/>
      <color rgb="FFFFFFFF"/>
      <sz val="10.5"/>
    </font>
    <font>
      <name val="Calibri"/>
      <b val="1"/>
      <color rgb="FF177A5E"/>
      <sz val="10.5"/>
    </font>
    <font>
      <name val="Calibri"/>
      <b val="1"/>
      <color rgb="FFA32A20"/>
      <sz val="10.5"/>
    </font>
    <font>
      <name val="Calibri"/>
      <b val="1"/>
      <color rgb="FFA32A20"/>
      <sz val="34"/>
    </font>
    <font>
      <name val="Calibri"/>
      <color rgb="FF13262E"/>
      <sz val="13"/>
    </font>
    <font>
      <name val="Calibri"/>
      <b val="1"/>
      <color rgb="FF8A5A12"/>
      <sz val="10.5"/>
    </font>
    <font>
      <name val="Calibri"/>
      <b val="1"/>
      <color rgb="FF4B646E"/>
      <sz val="10.5"/>
    </font>
    <font>
      <name val="Consolas"/>
      <color rgb="FF13262E"/>
      <sz val="9.5"/>
    </font>
    <font>
      <name val="Calibri"/>
      <b val="1"/>
      <color rgb="FFA32A20"/>
      <sz val="11"/>
    </font>
    <font>
      <name val="Calibri"/>
      <b val="1"/>
      <color rgb="FF0B5E52"/>
      <sz val="11"/>
    </font>
  </fonts>
  <fills count="9">
    <fill>
      <patternFill/>
    </fill>
    <fill>
      <patternFill patternType="gray125"/>
    </fill>
    <fill>
      <patternFill patternType="solid">
        <fgColor rgb="FFFFF8DC"/>
      </patternFill>
    </fill>
    <fill>
      <patternFill patternType="solid">
        <fgColor rgb="FFEFF3F3"/>
      </patternFill>
    </fill>
    <fill>
      <patternFill patternType="solid">
        <fgColor rgb="FFFBEBE9"/>
      </patternFill>
    </fill>
    <fill>
      <patternFill patternType="solid">
        <fgColor rgb="FFFDF3E3"/>
      </patternFill>
    </fill>
    <fill>
      <patternFill patternType="solid">
        <fgColor rgb="FFE6F4EF"/>
      </patternFill>
    </fill>
    <fill>
      <patternFill patternType="solid">
        <fgColor rgb="FF0B5E52"/>
      </patternFill>
    </fill>
    <fill>
      <patternFill patternType="solid">
        <fgColor rgb="FFF3F8F7"/>
      </patternFill>
    </fill>
  </fills>
  <borders count="5">
    <border>
      <left/>
      <right/>
      <top/>
      <bottom/>
      <diagonal/>
    </border>
    <border>
      <bottom style="medium">
        <color rgb="FF0B5E52"/>
      </bottom>
    </border>
    <border>
      <bottom style="thin">
        <color rgb="FFDCE5E5"/>
      </bottom>
    </border>
    <border>
      <left style="thin">
        <color rgb="FFDCE5E5"/>
      </left>
      <right style="thin">
        <color rgb="FFDCE5E5"/>
      </right>
      <top style="thin">
        <color rgb="FFDCE5E5"/>
      </top>
      <bottom style="thin">
        <color rgb="FFDCE5E5"/>
      </bottom>
    </border>
    <border>
      <top style="medium">
        <color rgb="FF0B5E52"/>
      </top>
    </border>
  </borders>
  <cellStyleXfs count="1">
    <xf numFmtId="0" fontId="0" fillId="0" borderId="0"/>
  </cellStyleXfs>
  <cellXfs count="14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1" pivotButton="0" quotePrefix="0" xfId="0"/>
    <xf numFmtId="0" fontId="4" fillId="0" borderId="1" pivotButton="0" quotePrefix="0" xfId="0"/>
    <xf numFmtId="0" fontId="0" fillId="0" borderId="1" pivotButton="0" quotePrefix="0" xfId="0"/>
    <xf numFmtId="0" fontId="5" fillId="0" borderId="2" pivotButton="0" quotePrefix="0" xfId="0"/>
    <xf numFmtId="0" fontId="6" fillId="0" borderId="2" pivotButton="0" quotePrefix="0" xfId="0"/>
    <xf numFmtId="0" fontId="6" fillId="0" borderId="2" applyAlignment="1" pivotButton="0" quotePrefix="0" xfId="0">
      <alignment horizontal="center"/>
    </xf>
    <xf numFmtId="0" fontId="7" fillId="0" borderId="0" applyAlignment="1" pivotButton="0" quotePrefix="0" xfId="0">
      <alignment vertical="top" wrapText="1"/>
    </xf>
    <xf numFmtId="0" fontId="8" fillId="2" borderId="3" applyAlignment="1" pivotButton="0" quotePrefix="0" xfId="0">
      <alignment horizontal="center"/>
    </xf>
    <xf numFmtId="0" fontId="6" fillId="0" borderId="0" pivotButton="0" quotePrefix="0" xfId="0"/>
    <xf numFmtId="0" fontId="8" fillId="3" borderId="3" applyAlignment="1" pivotButton="0" quotePrefix="0" xfId="0">
      <alignment horizontal="center"/>
    </xf>
    <xf numFmtId="0" fontId="8" fillId="4" borderId="3" applyAlignment="1" pivotButton="0" quotePrefix="0" xfId="0">
      <alignment horizontal="center"/>
    </xf>
    <xf numFmtId="0" fontId="8" fillId="5" borderId="3" applyAlignment="1" pivotButton="0" quotePrefix="0" xfId="0">
      <alignment horizontal="center"/>
    </xf>
    <xf numFmtId="0" fontId="8" fillId="6" borderId="3" applyAlignment="1" pivotButton="0" quotePrefix="0" xfId="0">
      <alignment horizontal="center"/>
    </xf>
    <xf numFmtId="0" fontId="9" fillId="0" borderId="0" pivotButton="0" quotePrefix="0" xfId="0"/>
    <xf numFmtId="0" fontId="10" fillId="0" borderId="0" applyAlignment="1" pivotButton="0" quotePrefix="0" xfId="0">
      <alignment vertical="top" wrapText="1"/>
    </xf>
    <xf numFmtId="0" fontId="10" fillId="0" borderId="2" pivotButton="0" quotePrefix="0" xfId="0"/>
    <xf numFmtId="3" fontId="11" fillId="0" borderId="2" applyAlignment="1" pivotButton="0" quotePrefix="0" xfId="0">
      <alignment horizontal="left" vertical="center"/>
    </xf>
    <xf numFmtId="0" fontId="6" fillId="0" borderId="2" applyAlignment="1" pivotButton="0" quotePrefix="0" xfId="0">
      <alignment vertical="center" wrapText="1"/>
    </xf>
    <xf numFmtId="0" fontId="10" fillId="4" borderId="2" pivotButton="0" quotePrefix="0" xfId="0"/>
    <xf numFmtId="3" fontId="11" fillId="4" borderId="2" applyAlignment="1" pivotButton="0" quotePrefix="0" xfId="0">
      <alignment horizontal="left" vertical="center"/>
    </xf>
    <xf numFmtId="0" fontId="6" fillId="4" borderId="2" applyAlignment="1" pivotButton="0" quotePrefix="0" xfId="0">
      <alignment vertical="center" wrapText="1"/>
    </xf>
    <xf numFmtId="164" fontId="11" fillId="4" borderId="2" applyAlignment="1" pivotButton="0" quotePrefix="0" xfId="0">
      <alignment horizontal="left" vertical="center"/>
    </xf>
    <xf numFmtId="0" fontId="10" fillId="5" borderId="2" pivotButton="0" quotePrefix="0" xfId="0"/>
    <xf numFmtId="3" fontId="11" fillId="5" borderId="2" applyAlignment="1" pivotButton="0" quotePrefix="0" xfId="0">
      <alignment horizontal="left" vertical="center"/>
    </xf>
    <xf numFmtId="0" fontId="6" fillId="5" borderId="2" applyAlignment="1" pivotButton="0" quotePrefix="0" xfId="0">
      <alignment vertical="center" wrapText="1"/>
    </xf>
    <xf numFmtId="0" fontId="12" fillId="0" borderId="0" applyAlignment="1" pivotButton="0" quotePrefix="0" xfId="0">
      <alignment vertical="top" wrapText="1"/>
    </xf>
    <xf numFmtId="0" fontId="10" fillId="4" borderId="0" applyAlignment="1" pivotButton="0" quotePrefix="0" xfId="0">
      <alignment vertical="top" wrapText="1"/>
    </xf>
    <xf numFmtId="0" fontId="0" fillId="4" borderId="0" pivotButton="0" quotePrefix="0" xfId="0"/>
    <xf numFmtId="0" fontId="13" fillId="7" borderId="0" applyAlignment="1" pivotButton="0" quotePrefix="0" xfId="0">
      <alignment horizontal="left" vertical="center" wrapText="1"/>
    </xf>
    <xf numFmtId="0" fontId="10" fillId="0" borderId="2" applyAlignment="1" pivotButton="0" quotePrefix="0" xfId="0">
      <alignment horizontal="center" vertical="center"/>
    </xf>
    <xf numFmtId="0" fontId="8" fillId="0" borderId="2" applyAlignment="1" pivotButton="0" quotePrefix="0" xfId="0">
      <alignment horizontal="left" vertical="center"/>
    </xf>
    <xf numFmtId="0" fontId="6" fillId="0" borderId="2" applyAlignment="1" pivotButton="0" quotePrefix="0" xfId="0">
      <alignment horizontal="left" vertical="center" wrapText="1"/>
    </xf>
    <xf numFmtId="3" fontId="10" fillId="0" borderId="2" applyAlignment="1" pivotButton="0" quotePrefix="0" xfId="0">
      <alignment horizontal="center" vertical="center"/>
    </xf>
    <xf numFmtId="0" fontId="14" fillId="0" borderId="2" applyAlignment="1" pivotButton="0" quotePrefix="0" xfId="0">
      <alignment horizontal="center" vertical="center"/>
    </xf>
    <xf numFmtId="0" fontId="10" fillId="4" borderId="2" applyAlignment="1" pivotButton="0" quotePrefix="0" xfId="0">
      <alignment horizontal="center" vertical="center"/>
    </xf>
    <xf numFmtId="0" fontId="8" fillId="4" borderId="2" applyAlignment="1" pivotButton="0" quotePrefix="0" xfId="0">
      <alignment horizontal="left" vertical="center"/>
    </xf>
    <xf numFmtId="0" fontId="6" fillId="4" borderId="2" applyAlignment="1" pivotButton="0" quotePrefix="0" xfId="0">
      <alignment horizontal="left" vertical="center" wrapText="1"/>
    </xf>
    <xf numFmtId="3" fontId="10" fillId="4" borderId="2" applyAlignment="1" pivotButton="0" quotePrefix="0" xfId="0">
      <alignment horizontal="center" vertical="center"/>
    </xf>
    <xf numFmtId="0" fontId="15" fillId="4" borderId="2" applyAlignment="1" pivotButton="0" quotePrefix="0" xfId="0">
      <alignment horizontal="center" vertical="center"/>
    </xf>
    <xf numFmtId="0" fontId="10" fillId="8" borderId="2" applyAlignment="1" pivotButton="0" quotePrefix="0" xfId="0">
      <alignment horizontal="center" vertical="center"/>
    </xf>
    <xf numFmtId="0" fontId="8" fillId="8" borderId="2" applyAlignment="1" pivotButton="0" quotePrefix="0" xfId="0">
      <alignment horizontal="left" vertical="center"/>
    </xf>
    <xf numFmtId="0" fontId="6" fillId="8" borderId="2" applyAlignment="1" pivotButton="0" quotePrefix="0" xfId="0">
      <alignment horizontal="left" vertical="center" wrapText="1"/>
    </xf>
    <xf numFmtId="3" fontId="10" fillId="8" borderId="2" applyAlignment="1" pivotButton="0" quotePrefix="0" xfId="0">
      <alignment horizontal="center" vertical="center"/>
    </xf>
    <xf numFmtId="0" fontId="14" fillId="8" borderId="2" applyAlignment="1" pivotButton="0" quotePrefix="0" xfId="0">
      <alignment horizontal="center" vertical="center"/>
    </xf>
    <xf numFmtId="0" fontId="10" fillId="0" borderId="2" applyAlignment="1" pivotButton="0" quotePrefix="0" xfId="0">
      <alignment horizontal="center" vertical="center"/>
    </xf>
    <xf numFmtId="0" fontId="8" fillId="0" borderId="2" applyAlignment="1" pivotButton="0" quotePrefix="0" xfId="0">
      <alignment horizontal="left" vertical="center"/>
    </xf>
    <xf numFmtId="3" fontId="10" fillId="0" borderId="2" applyAlignment="1" pivotButton="0" quotePrefix="0" xfId="0">
      <alignment horizontal="center" vertical="center"/>
    </xf>
    <xf numFmtId="164" fontId="10" fillId="0" borderId="2" applyAlignment="1" pivotButton="0" quotePrefix="0" xfId="0">
      <alignment horizontal="center" vertical="center"/>
    </xf>
    <xf numFmtId="165" fontId="10" fillId="0" borderId="2" applyAlignment="1" pivotButton="0" quotePrefix="0" xfId="0">
      <alignment horizontal="center" vertical="center"/>
    </xf>
    <xf numFmtId="166" fontId="10" fillId="0" borderId="2" applyAlignment="1" pivotButton="0" quotePrefix="0" xfId="0">
      <alignment horizontal="center" vertical="center"/>
    </xf>
    <xf numFmtId="0" fontId="10" fillId="8" borderId="2" applyAlignment="1" pivotButton="0" quotePrefix="0" xfId="0">
      <alignment horizontal="center" vertical="center"/>
    </xf>
    <xf numFmtId="0" fontId="8" fillId="8" borderId="2" applyAlignment="1" pivotButton="0" quotePrefix="0" xfId="0">
      <alignment horizontal="left" vertical="center"/>
    </xf>
    <xf numFmtId="3" fontId="10" fillId="8" borderId="2" applyAlignment="1" pivotButton="0" quotePrefix="0" xfId="0">
      <alignment horizontal="center" vertical="center"/>
    </xf>
    <xf numFmtId="164" fontId="10" fillId="8" borderId="2" applyAlignment="1" pivotButton="0" quotePrefix="0" xfId="0">
      <alignment horizontal="center" vertical="center"/>
    </xf>
    <xf numFmtId="165" fontId="10" fillId="8" borderId="2" applyAlignment="1" pivotButton="0" quotePrefix="0" xfId="0">
      <alignment horizontal="center" vertical="center"/>
    </xf>
    <xf numFmtId="166" fontId="10" fillId="8" borderId="2" applyAlignment="1" pivotButton="0" quotePrefix="0" xfId="0">
      <alignment horizontal="center" vertical="center"/>
    </xf>
    <xf numFmtId="0" fontId="10" fillId="4" borderId="2" applyAlignment="1" pivotButton="0" quotePrefix="0" xfId="0">
      <alignment horizontal="center" vertical="center"/>
    </xf>
    <xf numFmtId="0" fontId="8" fillId="4" borderId="2" applyAlignment="1" pivotButton="0" quotePrefix="0" xfId="0">
      <alignment horizontal="left" vertical="center"/>
    </xf>
    <xf numFmtId="3" fontId="10" fillId="4" borderId="2" applyAlignment="1" pivotButton="0" quotePrefix="0" xfId="0">
      <alignment horizontal="center" vertical="center"/>
    </xf>
    <xf numFmtId="164" fontId="10" fillId="4" borderId="2" applyAlignment="1" pivotButton="0" quotePrefix="0" xfId="0">
      <alignment horizontal="center" vertical="center"/>
    </xf>
    <xf numFmtId="165" fontId="10" fillId="4" borderId="2" applyAlignment="1" pivotButton="0" quotePrefix="0" xfId="0">
      <alignment horizontal="center" vertical="center"/>
    </xf>
    <xf numFmtId="166" fontId="10" fillId="4" borderId="2" applyAlignment="1" pivotButton="0" quotePrefix="0" xfId="0">
      <alignment horizontal="center" vertical="center"/>
    </xf>
    <xf numFmtId="0" fontId="8" fillId="0" borderId="4" applyAlignment="1" pivotButton="0" quotePrefix="0" xfId="0">
      <alignment horizontal="center"/>
    </xf>
    <xf numFmtId="0" fontId="8" fillId="0" borderId="4" applyAlignment="1" pivotButton="0" quotePrefix="0" xfId="0">
      <alignment horizontal="left"/>
    </xf>
    <xf numFmtId="3" fontId="8" fillId="0" borderId="4" applyAlignment="1" pivotButton="0" quotePrefix="0" xfId="0">
      <alignment horizontal="center"/>
    </xf>
    <xf numFmtId="164" fontId="8" fillId="0" borderId="4" applyAlignment="1" pivotButton="0" quotePrefix="0" xfId="0">
      <alignment horizontal="center"/>
    </xf>
    <xf numFmtId="165" fontId="8" fillId="0" borderId="4" applyAlignment="1" pivotButton="0" quotePrefix="0" xfId="0">
      <alignment horizontal="center"/>
    </xf>
    <xf numFmtId="166" fontId="8" fillId="0" borderId="4" applyAlignment="1" pivotButton="0" quotePrefix="0" xfId="0">
      <alignment horizontal="center"/>
    </xf>
    <xf numFmtId="0" fontId="6" fillId="0" borderId="0" applyAlignment="1" pivotButton="0" quotePrefix="0" xfId="0">
      <alignment vertical="top" wrapText="1"/>
    </xf>
    <xf numFmtId="164" fontId="10" fillId="0" borderId="2" applyAlignment="1" pivotButton="0" quotePrefix="0" xfId="0">
      <alignment horizontal="center" vertical="center"/>
    </xf>
    <xf numFmtId="165" fontId="10" fillId="0" borderId="2" applyAlignment="1" pivotButton="0" quotePrefix="0" xfId="0">
      <alignment horizontal="center" vertical="center"/>
    </xf>
    <xf numFmtId="166" fontId="10" fillId="0" borderId="2" applyAlignment="1" pivotButton="0" quotePrefix="0" xfId="0">
      <alignment horizontal="center" vertical="center"/>
    </xf>
    <xf numFmtId="164" fontId="10" fillId="8" borderId="2" applyAlignment="1" pivotButton="0" quotePrefix="0" xfId="0">
      <alignment horizontal="center" vertical="center"/>
    </xf>
    <xf numFmtId="165" fontId="10" fillId="8" borderId="2" applyAlignment="1" pivotButton="0" quotePrefix="0" xfId="0">
      <alignment horizontal="center" vertical="center"/>
    </xf>
    <xf numFmtId="166" fontId="10" fillId="8" borderId="2" applyAlignment="1" pivotButton="0" quotePrefix="0" xfId="0">
      <alignment horizontal="center" vertical="center"/>
    </xf>
    <xf numFmtId="0" fontId="8" fillId="5" borderId="2" applyAlignment="1" pivotButton="0" quotePrefix="0" xfId="0">
      <alignment horizontal="left" vertical="center"/>
    </xf>
    <xf numFmtId="3" fontId="10" fillId="5" borderId="2" applyAlignment="1" pivotButton="0" quotePrefix="0" xfId="0">
      <alignment horizontal="center" vertical="center"/>
    </xf>
    <xf numFmtId="164" fontId="10" fillId="5" borderId="2" applyAlignment="1" pivotButton="0" quotePrefix="0" xfId="0">
      <alignment horizontal="center" vertical="center"/>
    </xf>
    <xf numFmtId="165" fontId="10" fillId="5" borderId="2" applyAlignment="1" pivotButton="0" quotePrefix="0" xfId="0">
      <alignment horizontal="center" vertical="center"/>
    </xf>
    <xf numFmtId="166" fontId="10" fillId="5" borderId="2" applyAlignment="1" pivotButton="0" quotePrefix="0" xfId="0">
      <alignment horizontal="center" vertical="center"/>
    </xf>
    <xf numFmtId="0" fontId="6" fillId="5" borderId="2" applyAlignment="1" pivotButton="0" quotePrefix="0" xfId="0">
      <alignment horizontal="left" vertical="center" wrapText="1"/>
    </xf>
    <xf numFmtId="3" fontId="16" fillId="0" borderId="0" pivotButton="0" quotePrefix="0" xfId="0"/>
    <xf numFmtId="0" fontId="17" fillId="0" borderId="0" applyAlignment="1" pivotButton="0" quotePrefix="0" xfId="0">
      <alignment vertical="center" wrapText="1"/>
    </xf>
    <xf numFmtId="166" fontId="10" fillId="4" borderId="2" applyAlignment="1" pivotButton="0" quotePrefix="0" xfId="0">
      <alignment horizontal="center" vertical="center"/>
    </xf>
    <xf numFmtId="10" fontId="8" fillId="0" borderId="4" applyAlignment="1" pivotButton="0" quotePrefix="0" xfId="0">
      <alignment horizontal="center"/>
    </xf>
    <xf numFmtId="0" fontId="10" fillId="0" borderId="0" pivotButton="0" quotePrefix="0" xfId="0"/>
    <xf numFmtId="165" fontId="8" fillId="2" borderId="3" applyAlignment="1" pivotButton="0" quotePrefix="0" xfId="0">
      <alignment horizontal="center" vertical="center"/>
    </xf>
    <xf numFmtId="3" fontId="8" fillId="2" borderId="3" applyAlignment="1" pivotButton="0" quotePrefix="0" xfId="0">
      <alignment horizontal="center" vertical="center"/>
    </xf>
    <xf numFmtId="0" fontId="8" fillId="0" borderId="2" pivotButton="0" quotePrefix="0" xfId="0"/>
    <xf numFmtId="0" fontId="0" fillId="0" borderId="2" pivotButton="0" quotePrefix="0" xfId="0"/>
    <xf numFmtId="0" fontId="8" fillId="0" borderId="2" applyAlignment="1" pivotButton="0" quotePrefix="0" xfId="0">
      <alignment horizontal="center" vertical="top"/>
    </xf>
    <xf numFmtId="0" fontId="8" fillId="0" borderId="2" applyAlignment="1" pivotButton="0" quotePrefix="0" xfId="0">
      <alignment horizontal="left" vertical="top" wrapText="1"/>
    </xf>
    <xf numFmtId="0" fontId="6" fillId="0" borderId="2" applyAlignment="1" pivotButton="0" quotePrefix="0" xfId="0">
      <alignment horizontal="left" vertical="top" wrapText="1"/>
    </xf>
    <xf numFmtId="0" fontId="15" fillId="0" borderId="2" applyAlignment="1" pivotButton="0" quotePrefix="0" xfId="0">
      <alignment horizontal="center" vertical="top"/>
    </xf>
    <xf numFmtId="0" fontId="10" fillId="0" borderId="2" applyAlignment="1" pivotButton="0" quotePrefix="0" xfId="0">
      <alignment horizontal="left" vertical="top" wrapText="1"/>
    </xf>
    <xf numFmtId="0" fontId="0" fillId="2" borderId="2" applyAlignment="1" pivotButton="0" quotePrefix="0" xfId="0">
      <alignment horizontal="left" vertical="top"/>
    </xf>
    <xf numFmtId="0" fontId="0" fillId="2" borderId="2" applyAlignment="1" pivotButton="0" quotePrefix="0" xfId="0">
      <alignment horizontal="center" vertical="top"/>
    </xf>
    <xf numFmtId="0" fontId="18" fillId="0" borderId="2" applyAlignment="1" pivotButton="0" quotePrefix="0" xfId="0">
      <alignment horizontal="center" vertical="top"/>
    </xf>
    <xf numFmtId="0" fontId="19" fillId="0" borderId="2" applyAlignment="1" pivotButton="0" quotePrefix="0" xfId="0">
      <alignment horizontal="center" vertical="top"/>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0" fontId="0" fillId="0" borderId="2" applyAlignment="1" pivotButton="0" quotePrefix="0" xfId="0">
      <alignment horizontal="left" vertical="center"/>
    </xf>
    <xf numFmtId="0" fontId="8" fillId="0" borderId="4" pivotButton="0" quotePrefix="0" xfId="0"/>
    <xf numFmtId="9" fontId="8" fillId="0" borderId="4" applyAlignment="1" pivotButton="0" quotePrefix="0" xfId="0">
      <alignment horizontal="center"/>
    </xf>
    <xf numFmtId="0" fontId="0" fillId="0" borderId="4" pivotButton="0" quotePrefix="0" xfId="0"/>
    <xf numFmtId="0" fontId="8" fillId="0" borderId="0" pivotButton="0" quotePrefix="0" xfId="0"/>
    <xf numFmtId="0" fontId="0" fillId="2" borderId="3" pivotButton="0" quotePrefix="0" xfId="0"/>
    <xf numFmtId="0" fontId="20" fillId="0" borderId="2" applyAlignment="1" pivotButton="0" quotePrefix="0" xfId="0">
      <alignment horizontal="left" vertical="top"/>
    </xf>
    <xf numFmtId="0" fontId="8" fillId="0" borderId="2" applyAlignment="1" pivotButton="0" quotePrefix="0" xfId="0">
      <alignment horizontal="left" vertical="top"/>
    </xf>
    <xf numFmtId="0" fontId="0" fillId="2" borderId="2" applyAlignment="1" pivotButton="0" quotePrefix="0" xfId="0">
      <alignment horizontal="left" vertical="top" wrapText="1"/>
    </xf>
    <xf numFmtId="0" fontId="20" fillId="8" borderId="2" applyAlignment="1" pivotButton="0" quotePrefix="0" xfId="0">
      <alignment horizontal="left" vertical="top"/>
    </xf>
    <xf numFmtId="0" fontId="8" fillId="8" borderId="2" applyAlignment="1" pivotButton="0" quotePrefix="0" xfId="0">
      <alignment horizontal="left" vertical="top"/>
    </xf>
    <xf numFmtId="0" fontId="10" fillId="8" borderId="2" applyAlignment="1" pivotButton="0" quotePrefix="0" xfId="0">
      <alignment horizontal="left" vertical="top" wrapText="1"/>
    </xf>
    <xf numFmtId="0" fontId="6" fillId="8" borderId="2" applyAlignment="1" pivotButton="0" quotePrefix="0" xfId="0">
      <alignment horizontal="left" vertical="top" wrapText="1"/>
    </xf>
    <xf numFmtId="0" fontId="15" fillId="8" borderId="2" applyAlignment="1" pivotButton="0" quotePrefix="0" xfId="0">
      <alignment horizontal="center" vertical="top"/>
    </xf>
    <xf numFmtId="0" fontId="18" fillId="8" borderId="2" applyAlignment="1" pivotButton="0" quotePrefix="0" xfId="0">
      <alignment horizontal="center" vertical="top"/>
    </xf>
    <xf numFmtId="0" fontId="20" fillId="0" borderId="2" applyAlignment="1" pivotButton="0" quotePrefix="0" xfId="0">
      <alignment horizontal="left" vertical="center"/>
    </xf>
    <xf numFmtId="0" fontId="0" fillId="2" borderId="2" applyAlignment="1" pivotButton="0" quotePrefix="0" xfId="0">
      <alignment horizontal="left" vertical="center"/>
    </xf>
    <xf numFmtId="0" fontId="0" fillId="2" borderId="2" applyAlignment="1" pivotButton="0" quotePrefix="0" xfId="0">
      <alignment horizontal="center" vertical="center"/>
    </xf>
    <xf numFmtId="3" fontId="0" fillId="0" borderId="2" applyAlignment="1" pivotButton="0" quotePrefix="0" xfId="0">
      <alignment horizontal="center" vertical="center"/>
    </xf>
    <xf numFmtId="167" fontId="0" fillId="3" borderId="2" applyAlignment="1" pivotButton="0" quotePrefix="0" xfId="0">
      <alignment horizontal="center" vertical="center"/>
    </xf>
    <xf numFmtId="0" fontId="0" fillId="3" borderId="2" applyAlignment="1" pivotButton="0" quotePrefix="0" xfId="0">
      <alignment horizontal="center" vertical="center"/>
    </xf>
    <xf numFmtId="3" fontId="0" fillId="3" borderId="2" applyAlignment="1" pivotButton="0" quotePrefix="0" xfId="0">
      <alignment horizontal="center" vertical="center"/>
    </xf>
    <xf numFmtId="0" fontId="0" fillId="2" borderId="2" applyAlignment="1" pivotButton="0" quotePrefix="0" xfId="0">
      <alignment horizontal="left" vertical="center" wrapText="1"/>
    </xf>
    <xf numFmtId="0" fontId="0" fillId="0" borderId="2" applyAlignment="1" pivotButton="0" quotePrefix="0" xfId="0">
      <alignment horizontal="left" vertical="center" wrapText="1"/>
    </xf>
    <xf numFmtId="165" fontId="0" fillId="3" borderId="2" applyAlignment="1" pivotButton="0" quotePrefix="0" xfId="0">
      <alignment horizontal="center" vertical="center"/>
    </xf>
    <xf numFmtId="3" fontId="8" fillId="0" borderId="4" pivotButton="0" quotePrefix="0" xfId="0"/>
    <xf numFmtId="164" fontId="8" fillId="0" borderId="4" pivotButton="0" quotePrefix="0" xfId="0"/>
    <xf numFmtId="0" fontId="6" fillId="2" borderId="2" applyAlignment="1" pivotButton="0" quotePrefix="0" xfId="0">
      <alignment horizontal="left" vertical="center" wrapText="1"/>
    </xf>
    <xf numFmtId="166" fontId="0" fillId="3" borderId="2" applyAlignment="1" pivotButton="0" quotePrefix="0" xfId="0">
      <alignment horizontal="center" vertical="center"/>
    </xf>
    <xf numFmtId="166" fontId="0" fillId="0" borderId="2" applyAlignment="1" pivotButton="0" quotePrefix="0" xfId="0">
      <alignment horizontal="center" vertical="center"/>
    </xf>
    <xf numFmtId="0" fontId="21" fillId="0" borderId="0" applyAlignment="1" pivotButton="0" quotePrefix="0" xfId="0">
      <alignment vertical="top" wrapText="1"/>
    </xf>
    <xf numFmtId="0" fontId="22" fillId="2" borderId="2" applyAlignment="1" pivotButton="0" quotePrefix="0" xfId="0">
      <alignment horizontal="center" vertical="center"/>
    </xf>
    <xf numFmtId="0" fontId="6" fillId="0" borderId="2" applyAlignment="1" pivotButton="0" quotePrefix="0" xfId="0">
      <alignment horizontal="center" vertical="center"/>
    </xf>
    <xf numFmtId="0" fontId="6" fillId="5" borderId="2" applyAlignment="1" pivotButton="0" quotePrefix="0" xfId="0">
      <alignment horizontal="center" vertical="center"/>
    </xf>
    <xf numFmtId="0" fontId="8" fillId="0" borderId="2" applyAlignment="1" pivotButton="0" quotePrefix="0" xfId="0">
      <alignment horizontal="left" vertical="center" wrapText="1"/>
    </xf>
    <xf numFmtId="0" fontId="15" fillId="0" borderId="2" applyAlignment="1" pivotButton="0" quotePrefix="0" xfId="0">
      <alignment horizontal="center" vertical="center"/>
    </xf>
    <xf numFmtId="0" fontId="18" fillId="0" borderId="2" applyAlignment="1" pivotButton="0" quotePrefix="0" xfId="0">
      <alignment horizontal="center" vertical="center"/>
    </xf>
    <xf numFmtId="0" fontId="8" fillId="0" borderId="2" applyAlignment="1" pivotButton="0" quotePrefix="0" xfId="0">
      <alignment vertical="top" wrapText="1"/>
    </xf>
    <xf numFmtId="0" fontId="10" fillId="0" borderId="2" applyAlignment="1" pivotButton="0" quotePrefix="0" xfId="0">
      <alignment vertical="top" wrapText="1"/>
    </xf>
  </cellXfs>
  <cellStyles count="1">
    <cellStyle name="Normal" xfId="0" builtinId="0" hidden="0"/>
  </cellStyles>
  <dxfs count="3">
    <dxf>
      <font>
        <b val="1"/>
        <color rgb="FF177A5E"/>
      </font>
      <fill>
        <patternFill patternType="solid">
          <fgColor rgb="FFE6F4EF"/>
        </patternFill>
      </fill>
    </dxf>
    <dxf>
      <font>
        <b val="1"/>
        <color rgb="FFA32A20"/>
      </font>
      <fill>
        <patternFill patternType="solid">
          <fgColor rgb="FFFBEBE9"/>
        </patternFill>
      </fill>
    </dxf>
    <dxf>
      <font>
        <b val="1"/>
        <color rgb="FF8A5A12"/>
      </font>
      <fill>
        <patternFill patternType="solid">
          <fgColor rgb="FFFDF3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xecutive summary'!A1" TargetMode="External" Id="rId1"/><Relationship Type="http://schemas.openxmlformats.org/officeDocument/2006/relationships/hyperlink" Target="#'Stage by stage'!A1" TargetMode="External" Id="rId2"/><Relationship Type="http://schemas.openxmlformats.org/officeDocument/2006/relationships/hyperlink" Target="#'Tokens &amp; cost by step'!A1" TargetMode="External" Id="rId3"/><Relationship Type="http://schemas.openxmlformats.org/officeDocument/2006/relationships/hyperlink" Target="#'Tokens &amp; cost by project'!A1" TargetMode="External" Id="rId4"/><Relationship Type="http://schemas.openxmlformats.org/officeDocument/2006/relationships/hyperlink" Target="#'Where work is stuck'!A1" TargetMode="External" Id="rId5"/><Relationship Type="http://schemas.openxmlformats.org/officeDocument/2006/relationships/hyperlink" Target="#'Cost scaling'!A1" TargetMode="External" Id="rId6"/><Relationship Type="http://schemas.openxmlformats.org/officeDocument/2006/relationships/hyperlink" Target="#'Issues &amp; actions'!A1" TargetMode="External" Id="rId7"/><Relationship Type="http://schemas.openxmlformats.org/officeDocument/2006/relationships/hyperlink" Target="#'Test progress'!A1" TargetMode="External" Id="rId8"/><Relationship Type="http://schemas.openxmlformats.org/officeDocument/2006/relationships/hyperlink" Target="#'Test &#183; Functional'!A1" TargetMode="External" Id="rId9"/><Relationship Type="http://schemas.openxmlformats.org/officeDocument/2006/relationships/hyperlink" Target="#'Test &#183; Documents'!A1" TargetMode="External" Id="rId10"/><Relationship Type="http://schemas.openxmlformats.org/officeDocument/2006/relationships/hyperlink" Target="#'Test &#183; Drawings'!A1" TargetMode="External" Id="rId11"/><Relationship Type="http://schemas.openxmlformats.org/officeDocument/2006/relationships/hyperlink" Target="#'Test &#183; Tokens'!A1" TargetMode="External" Id="rId12"/><Relationship Type="http://schemas.openxmlformats.org/officeDocument/2006/relationships/hyperlink" Target="#'Test &#183; Accuracy'!A1" TargetMode="External" Id="rId13"/><Relationship Type="http://schemas.openxmlformats.org/officeDocument/2006/relationships/hyperlink" Target="#'Targets'!A1" TargetMode="External" Id="rId14"/><Relationship Type="http://schemas.openxmlformats.org/officeDocument/2006/relationships/hyperlink" Target="#'Test data needed'!A1" TargetMode="External" Id="rId15"/><Relationship Type="http://schemas.openxmlformats.org/officeDocument/2006/relationships/hyperlink" Target="#'Glossary'!A1" TargetMode="External" Id="rId16"/></Relationships>
</file>

<file path=xl/worksheets/_rels/sheet2.xml.rels><Relationships xmlns="http://schemas.openxmlformats.org/package/2006/relationships"><Relationship Type="http://schemas.openxmlformats.org/officeDocument/2006/relationships/hyperlink" Target="#'Contents'!A1" TargetMode="External" Id="rId1"/></Relationships>
</file>

<file path=xl/worksheets/_rels/sheet3.xml.rels><Relationships xmlns="http://schemas.openxmlformats.org/package/2006/relationships"><Relationship Type="http://schemas.openxmlformats.org/officeDocument/2006/relationships/hyperlink" Target="#'Contents'!A1" TargetMode="External" Id="rId1"/></Relationships>
</file>

<file path=xl/worksheets/_rels/sheet4.xml.rels><Relationships xmlns="http://schemas.openxmlformats.org/package/2006/relationships"><Relationship Type="http://schemas.openxmlformats.org/officeDocument/2006/relationships/hyperlink" Target="#'Contents'!A1" TargetMode="External" Id="rId1"/></Relationships>
</file>

<file path=xl/worksheets/_rels/sheet5.xml.rels><Relationships xmlns="http://schemas.openxmlformats.org/package/2006/relationships"><Relationship Type="http://schemas.openxmlformats.org/officeDocument/2006/relationships/hyperlink" Target="#'Contents'!A1" TargetMode="External" Id="rId1"/></Relationships>
</file>

<file path=xl/worksheets/_rels/sheet6.xml.rels><Relationships xmlns="http://schemas.openxmlformats.org/package/2006/relationships"><Relationship Type="http://schemas.openxmlformats.org/officeDocument/2006/relationships/hyperlink" Target="#'Contents'!A1" TargetMode="External" Id="rId1"/></Relationships>
</file>

<file path=xl/worksheets/_rels/sheet7.xml.rels><Relationships xmlns="http://schemas.openxmlformats.org/package/2006/relationships"><Relationship Type="http://schemas.openxmlformats.org/officeDocument/2006/relationships/hyperlink" Target="#'Contents'!A1" TargetMode="External" Id="rId1"/></Relationships>
</file>

<file path=xl/worksheets/_rels/sheet8.xml.rels><Relationships xmlns="http://schemas.openxmlformats.org/package/2006/relationships"><Relationship Type="http://schemas.openxmlformats.org/officeDocument/2006/relationships/hyperlink" Target="#'Contents'!A1" TargetMode="External" Id="rId1"/></Relationships>
</file>

<file path=xl/worksheets/_rels/sheet9.xml.rels><Relationships xmlns="http://schemas.openxmlformats.org/package/2006/relationships"><Relationship Type="http://schemas.openxmlformats.org/officeDocument/2006/relationships/hyperlink" Target="#'Contents'!A1" TargetMode="External" Id="rId1"/></Relationships>
</file>

<file path=xl/worksheets/_rels/sheet10.xml.rels><Relationships xmlns="http://schemas.openxmlformats.org/package/2006/relationships"><Relationship Type="http://schemas.openxmlformats.org/officeDocument/2006/relationships/hyperlink" Target="#'Contents'!A1" TargetMode="External" Id="rId1"/></Relationships>
</file>

<file path=xl/worksheets/_rels/sheet11.xml.rels><Relationships xmlns="http://schemas.openxmlformats.org/package/2006/relationships"><Relationship Type="http://schemas.openxmlformats.org/officeDocument/2006/relationships/hyperlink" Target="#'Contents'!A1" TargetMode="External" Id="rId1"/></Relationships>
</file>

<file path=xl/worksheets/_rels/sheet12.xml.rels><Relationships xmlns="http://schemas.openxmlformats.org/package/2006/relationships"><Relationship Type="http://schemas.openxmlformats.org/officeDocument/2006/relationships/hyperlink" Target="#'Contents'!A1" TargetMode="External" Id="rId1"/></Relationships>
</file>

<file path=xl/worksheets/_rels/sheet13.xml.rels><Relationships xmlns="http://schemas.openxmlformats.org/package/2006/relationships"><Relationship Type="http://schemas.openxmlformats.org/officeDocument/2006/relationships/hyperlink" Target="#'Contents'!A1" TargetMode="External" Id="rId1"/></Relationships>
</file>

<file path=xl/worksheets/_rels/sheet14.xml.rels><Relationships xmlns="http://schemas.openxmlformats.org/package/2006/relationships"><Relationship Type="http://schemas.openxmlformats.org/officeDocument/2006/relationships/hyperlink" Target="#'Contents'!A1" TargetMode="External" Id="rId1"/></Relationships>
</file>

<file path=xl/worksheets/_rels/sheet15.xml.rels><Relationships xmlns="http://schemas.openxmlformats.org/package/2006/relationships"><Relationship Type="http://schemas.openxmlformats.org/officeDocument/2006/relationships/hyperlink" Target="#'Contents'!A1" TargetMode="External" Id="rId1"/></Relationships>
</file>

<file path=xl/worksheets/_rels/sheet16.xml.rels><Relationships xmlns="http://schemas.openxmlformats.org/package/2006/relationships"><Relationship Type="http://schemas.openxmlformats.org/officeDocument/2006/relationships/hyperlink" Target="#'Contents'!A1" TargetMode="External" Id="rId1"/></Relationships>
</file>

<file path=xl/worksheets/_rels/sheet17.xml.rels><Relationships xmlns="http://schemas.openxmlformats.org/package/2006/relationships"><Relationship Type="http://schemas.openxmlformats.org/officeDocument/2006/relationships/hyperlink" Target="#'Contents'!A1" TargetMode="External" Id="rId1"/></Relationships>
</file>

<file path=xl/worksheets/sheet1.xml><?xml version="1.0" encoding="utf-8"?>
<worksheet xmlns="http://schemas.openxmlformats.org/spreadsheetml/2006/main">
  <sheetPr>
    <outlinePr summaryBelow="1" summaryRight="1"/>
    <pageSetUpPr fitToPage="1"/>
  </sheetPr>
  <dimension ref="B2:D31"/>
  <sheetViews>
    <sheetView showGridLines="0" workbookViewId="0">
      <selection activeCell="A1" sqref="A1"/>
    </sheetView>
  </sheetViews>
  <sheetFormatPr baseColWidth="8" defaultRowHeight="15"/>
  <cols>
    <col width="2" customWidth="1" min="1" max="1"/>
    <col width="30" customWidth="1" min="2" max="2"/>
    <col width="62" customWidth="1" min="3" max="3"/>
    <col width="14" customWidth="1" min="4" max="4"/>
  </cols>
  <sheetData>
    <row r="2" ht="26" customHeight="1">
      <c r="B2" s="1" t="inlineStr">
        <is>
          <t>Preckon — platform report and test plan</t>
        </is>
      </c>
    </row>
    <row r="3">
      <c r="B3" s="2" t="inlineStr">
        <is>
          <t>Live system as at 27 August 2026.  Prepared 28 August 2026.</t>
        </is>
      </c>
    </row>
    <row r="6" ht="26" customHeight="1">
      <c r="B6" s="3" t="inlineStr">
        <is>
          <t>PART 1</t>
        </is>
      </c>
      <c r="C6" s="4" t="inlineStr">
        <is>
          <t>What the system shows today</t>
        </is>
      </c>
      <c r="D6" s="5" t="n"/>
    </row>
    <row r="7" ht="21" customHeight="1">
      <c r="B7" s="6" t="inlineStr">
        <is>
          <t>Executive summary</t>
        </is>
      </c>
      <c r="C7" s="7" t="inlineStr">
        <is>
          <t>The story in one page, and what we are asking for</t>
        </is>
      </c>
      <c r="D7" s="8" t="inlineStr">
        <is>
          <t>Report</t>
        </is>
      </c>
    </row>
    <row r="8" ht="21" customHeight="1">
      <c r="B8" s="6" t="inlineStr">
        <is>
          <t>Stage by stage</t>
        </is>
      </c>
      <c r="C8" s="7" t="inlineStr">
        <is>
          <t>How each step of the bid performed, with timing</t>
        </is>
      </c>
      <c r="D8" s="8" t="inlineStr">
        <is>
          <t>Report</t>
        </is>
      </c>
    </row>
    <row r="9" ht="21" customHeight="1">
      <c r="B9" s="6" t="inlineStr">
        <is>
          <t>Tokens &amp; cost by step</t>
        </is>
      </c>
      <c r="C9" s="7" t="inlineStr">
        <is>
          <t>Tokens in, out and cost for all 17 steps</t>
        </is>
      </c>
      <c r="D9" s="8" t="inlineStr">
        <is>
          <t>Report</t>
        </is>
      </c>
    </row>
    <row r="10" ht="21" customHeight="1">
      <c r="B10" s="6" t="inlineStr">
        <is>
          <t>Tokens &amp; cost by project</t>
        </is>
      </c>
      <c r="C10" s="7" t="inlineStr">
        <is>
          <t>The same, charged to each of the six projects</t>
        </is>
      </c>
      <c r="D10" s="8" t="inlineStr">
        <is>
          <t>Report</t>
        </is>
      </c>
    </row>
    <row r="11" ht="21" customHeight="1">
      <c r="B11" s="6" t="inlineStr">
        <is>
          <t>Where work is stuck</t>
        </is>
      </c>
      <c r="C11" s="7" t="inlineStr">
        <is>
          <t>The approval queue — 1,367 items waiting</t>
        </is>
      </c>
      <c r="D11" s="8" t="inlineStr">
        <is>
          <t>Report</t>
        </is>
      </c>
    </row>
    <row r="12" ht="21" customHeight="1">
      <c r="B12" s="6" t="inlineStr">
        <is>
          <t>Cost scaling</t>
        </is>
      </c>
      <c r="C12" s="7" t="inlineStr">
        <is>
          <t>Editable scenarios for what a year would cost</t>
        </is>
      </c>
      <c r="D12" s="8" t="inlineStr">
        <is>
          <t>Report</t>
        </is>
      </c>
    </row>
    <row r="13" ht="21" customHeight="1">
      <c r="B13" s="6" t="inlineStr">
        <is>
          <t>Issues &amp; actions</t>
        </is>
      </c>
      <c r="C13" s="7" t="inlineStr">
        <is>
          <t>Seven items, prioritised, with owner and date to fill in</t>
        </is>
      </c>
      <c r="D13" s="8" t="inlineStr">
        <is>
          <t>Report</t>
        </is>
      </c>
    </row>
    <row r="14" ht="26" customHeight="1">
      <c r="B14" s="3" t="inlineStr">
        <is>
          <t>PART 2</t>
        </is>
      </c>
      <c r="C14" s="4" t="inlineStr">
        <is>
          <t>The plan to test it properly</t>
        </is>
      </c>
      <c r="D14" s="5" t="n"/>
    </row>
    <row r="15" ht="21" customHeight="1">
      <c r="B15" s="6" t="inlineStr">
        <is>
          <t>Test progress</t>
        </is>
      </c>
      <c r="C15" s="7" t="inlineStr">
        <is>
          <t>Rolls up from the five test sheets as they are filled in</t>
        </is>
      </c>
      <c r="D15" s="8" t="inlineStr">
        <is>
          <t>Test</t>
        </is>
      </c>
    </row>
    <row r="16" ht="21" customHeight="1">
      <c r="B16" s="6" t="inlineStr">
        <is>
          <t>Test · Functional</t>
        </is>
      </c>
      <c r="C16" s="7" t="inlineStr">
        <is>
          <t>40 cases across all modules and the platform</t>
        </is>
      </c>
      <c r="D16" s="8" t="inlineStr">
        <is>
          <t>Test</t>
        </is>
      </c>
    </row>
    <row r="17" ht="21" customHeight="1">
      <c r="B17" s="6" t="inlineStr">
        <is>
          <t>Test · Documents</t>
        </is>
      </c>
      <c r="C17" s="7" t="inlineStr">
        <is>
          <t>15 runs — processing time and tokens by file size</t>
        </is>
      </c>
      <c r="D17" s="8" t="inlineStr">
        <is>
          <t>Test</t>
        </is>
      </c>
    </row>
    <row r="18" ht="21" customHeight="1">
      <c r="B18" s="6" t="inlineStr">
        <is>
          <t>Test · Drawings</t>
        </is>
      </c>
      <c r="C18" s="7" t="inlineStr">
        <is>
          <t>12 runs — simple, medium, complex and scanned</t>
        </is>
      </c>
      <c r="D18" s="8" t="inlineStr">
        <is>
          <t>Test</t>
        </is>
      </c>
    </row>
    <row r="19" ht="21" customHeight="1">
      <c r="B19" s="6" t="inlineStr">
        <is>
          <t>Test · Tokens</t>
        </is>
      </c>
      <c r="C19" s="7" t="inlineStr">
        <is>
          <t>All 17 steps, and the total for one full bid</t>
        </is>
      </c>
      <c r="D19" s="8" t="inlineStr">
        <is>
          <t>Test</t>
        </is>
      </c>
    </row>
    <row r="20" ht="21" customHeight="1">
      <c r="B20" s="6" t="inlineStr">
        <is>
          <t>Test · Accuracy</t>
        </is>
      </c>
      <c r="C20" s="7" t="inlineStr">
        <is>
          <t>10 extraction types, with precision and recall</t>
        </is>
      </c>
      <c r="D20" s="8" t="inlineStr">
        <is>
          <t>Test</t>
        </is>
      </c>
    </row>
    <row r="21" ht="26" customHeight="1">
      <c r="B21" s="3" t="inlineStr">
        <is>
          <t>PART 3</t>
        </is>
      </c>
      <c r="C21" s="4" t="inlineStr">
        <is>
          <t>Reference</t>
        </is>
      </c>
      <c r="D21" s="5" t="n"/>
    </row>
    <row r="22" ht="21" customHeight="1">
      <c r="B22" s="6" t="inlineStr">
        <is>
          <t>Targets</t>
        </is>
      </c>
      <c r="C22" s="7" t="inlineStr">
        <is>
          <t>Every threshold, with today's figure beside it</t>
        </is>
      </c>
      <c r="D22" s="8" t="inlineStr">
        <is>
          <t>Reference</t>
        </is>
      </c>
    </row>
    <row r="23" ht="21" customHeight="1">
      <c r="B23" s="6" t="inlineStr">
        <is>
          <t>Test data needed</t>
        </is>
      </c>
      <c r="C23" s="7" t="inlineStr">
        <is>
          <t>The files to prepare before testing can start</t>
        </is>
      </c>
      <c r="D23" s="8" t="inlineStr">
        <is>
          <t>Reference</t>
        </is>
      </c>
    </row>
    <row r="24" ht="21" customHeight="1">
      <c r="B24" s="6" t="inlineStr">
        <is>
          <t>Glossary</t>
        </is>
      </c>
      <c r="C24" s="7" t="inlineStr">
        <is>
          <t>Plain definitions for every term used</t>
        </is>
      </c>
      <c r="D24" s="8" t="inlineStr">
        <is>
          <t>Reference</t>
        </is>
      </c>
    </row>
    <row r="26">
      <c r="B26" s="9" t="inlineStr">
        <is>
          <t>Colour key</t>
        </is>
      </c>
    </row>
    <row r="27" ht="20" customHeight="1">
      <c r="B27" s="10" t="inlineStr">
        <is>
          <t>Cream</t>
        </is>
      </c>
      <c r="C27" s="11" t="inlineStr">
        <is>
          <t>You fill this in.</t>
        </is>
      </c>
    </row>
    <row r="28" ht="20" customHeight="1">
      <c r="B28" s="12" t="inlineStr">
        <is>
          <t>Grey</t>
        </is>
      </c>
      <c r="C28" s="11" t="inlineStr">
        <is>
          <t>Calculates itself — do not type over it.</t>
        </is>
      </c>
    </row>
    <row r="29" ht="20" customHeight="1">
      <c r="B29" s="13" t="inlineStr">
        <is>
          <t>Red</t>
        </is>
      </c>
      <c r="C29" s="11" t="inlineStr">
        <is>
          <t>Needs a decision or is not working.</t>
        </is>
      </c>
    </row>
    <row r="30" ht="20" customHeight="1">
      <c r="B30" s="14" t="inlineStr">
        <is>
          <t>Amber</t>
        </is>
      </c>
      <c r="C30" s="11" t="inlineStr">
        <is>
          <t>Works, but worth watching.</t>
        </is>
      </c>
    </row>
    <row r="31" ht="20" customHeight="1">
      <c r="B31" s="15" t="inlineStr">
        <is>
          <t>Green</t>
        </is>
      </c>
      <c r="C31" s="11" t="inlineStr">
        <is>
          <t>Working.</t>
        </is>
      </c>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2" r:id="rId14"/>
    <hyperlink xmlns:r="http://schemas.openxmlformats.org/officeDocument/2006/relationships" ref="B23" r:id="rId15"/>
    <hyperlink xmlns:r="http://schemas.openxmlformats.org/officeDocument/2006/relationships" ref="B24" r:id="rId16"/>
  </hyperlinks>
  <pageMargins left="0.75" right="0.75" top="1" bottom="1" header="0.5" footer="0.5"/>
  <pageSetup orientation="landscape" fitToWidth="1"/>
</worksheet>
</file>

<file path=xl/worksheets/sheet2.xml><?xml version="1.0" encoding="utf-8"?>
<worksheet xmlns="http://schemas.openxmlformats.org/spreadsheetml/2006/main">
  <sheetPr>
    <tabColor rgb="000B5E52"/>
    <outlinePr summaryBelow="1" summaryRight="1"/>
    <pageSetUpPr fitToPage="1"/>
  </sheetPr>
  <dimension ref="A1:D26"/>
  <sheetViews>
    <sheetView showGridLines="0" workbookViewId="0">
      <selection activeCell="A1" sqref="A1"/>
    </sheetView>
  </sheetViews>
  <sheetFormatPr baseColWidth="8" defaultRowHeight="15"/>
  <cols>
    <col width="2" customWidth="1" min="1" max="1"/>
    <col width="34" customWidth="1" min="2" max="2"/>
    <col width="18" customWidth="1" min="3" max="3"/>
    <col width="62" customWidth="1" min="4" max="4"/>
  </cols>
  <sheetData>
    <row r="1">
      <c r="A1" s="16" t="inlineStr">
        <is>
          <t>‹ Contents</t>
        </is>
      </c>
    </row>
    <row r="2" ht="26" customHeight="1">
      <c r="A2" s="1" t="inlineStr">
        <is>
          <t>Executive summary</t>
        </is>
      </c>
    </row>
    <row r="3">
      <c r="A3" s="2" t="inlineStr">
        <is>
          <t>Six projects, 228 jobs, 17 steps of the bid chain.</t>
        </is>
      </c>
    </row>
    <row r="5">
      <c r="B5" s="9" t="inlineStr">
        <is>
          <t>In one paragraph</t>
        </is>
      </c>
    </row>
    <row r="6" ht="62" customHeight="1">
      <c r="B6" s="17" t="inlineStr">
        <is>
          <t>The platform ran end to end. Documents were read, bills produced, prices applied and programmes built across six projects. Two things stop this being a success story. Almost nobody is approving what the system produces, so work stops at the review step. And half the AI requests were refused by our own data-privacy rule, so the AI has barely been exercised. Neither is a broken system — both need a decision.</t>
        </is>
      </c>
    </row>
    <row r="8">
      <c r="B8" s="9" t="inlineStr">
        <is>
          <t>The numbers</t>
        </is>
      </c>
    </row>
    <row r="9" ht="6" customHeight="1">
      <c r="B9" s="5" t="n"/>
      <c r="C9" s="5" t="n"/>
      <c r="D9" s="5" t="n"/>
    </row>
    <row r="10" ht="30" customHeight="1">
      <c r="B10" s="18" t="inlineStr">
        <is>
          <t>Jobs run</t>
        </is>
      </c>
      <c r="C10" s="19" t="n">
        <v>228</v>
      </c>
      <c r="D10" s="20" t="inlineStr">
        <is>
          <t>Across six projects.</t>
        </is>
      </c>
    </row>
    <row r="11" ht="30" customHeight="1">
      <c r="B11" s="18" t="inlineStr">
        <is>
          <t>AI requests</t>
        </is>
      </c>
      <c r="C11" s="19" t="n">
        <v>88</v>
      </c>
      <c r="D11" s="20" t="inlineStr">
        <is>
          <t>Across 14 active steps.</t>
        </is>
      </c>
    </row>
    <row r="12" ht="30" customHeight="1">
      <c r="B12" s="21" t="inlineStr">
        <is>
          <t>Blocked by privacy rule</t>
        </is>
      </c>
      <c r="C12" s="22" t="n">
        <v>44</v>
      </c>
      <c r="D12" s="23" t="inlineStr">
        <is>
          <t>Refused before reaching the AI. Cost nothing.</t>
        </is>
      </c>
    </row>
    <row r="13" ht="30" customHeight="1">
      <c r="B13" s="18" t="inlineStr">
        <is>
          <t>Total tokens</t>
        </is>
      </c>
      <c r="C13" s="19" t="n">
        <v>26040</v>
      </c>
      <c r="D13" s="20" t="inlineStr">
        <is>
          <t>See the caveat below.</t>
        </is>
      </c>
    </row>
    <row r="14" ht="30" customHeight="1">
      <c r="B14" s="21" t="inlineStr">
        <is>
          <t>Total cost</t>
        </is>
      </c>
      <c r="C14" s="24" t="n">
        <v>3.36</v>
      </c>
      <c r="D14" s="23" t="inlineStr">
        <is>
          <t>Arithmetic on a placeholder. Not spend.</t>
        </is>
      </c>
    </row>
    <row r="15" ht="30" customHeight="1">
      <c r="B15" s="21" t="inlineStr">
        <is>
          <t>Waiting for approval</t>
        </is>
      </c>
      <c r="C15" s="22" t="n">
        <v>1367</v>
      </c>
      <c r="D15" s="23" t="inlineStr">
        <is>
          <t>This is where work is stopping.</t>
        </is>
      </c>
    </row>
    <row r="16" ht="30" customHeight="1">
      <c r="B16" s="21" t="inlineStr">
        <is>
          <t>Actually approved</t>
        </is>
      </c>
      <c r="C16" s="22" t="n">
        <v>8</v>
      </c>
      <c r="D16" s="23" t="inlineStr">
        <is>
          <t>Out of 1,367. None rejected either.</t>
        </is>
      </c>
    </row>
    <row r="17" ht="30" customHeight="1">
      <c r="B17" s="25" t="inlineStr">
        <is>
          <t>Repeat work reused</t>
        </is>
      </c>
      <c r="C17" s="26" t="n">
        <v>0</v>
      </c>
      <c r="D17" s="27" t="inlineStr">
        <is>
          <t>The reuse feature is switched off.</t>
        </is>
      </c>
    </row>
    <row r="18" ht="30" customHeight="1">
      <c r="B18" s="25" t="inlineStr">
        <is>
          <t>System errors</t>
        </is>
      </c>
      <c r="C18" s="26" t="n">
        <v>2</v>
      </c>
      <c r="D18" s="27" t="inlineStr">
        <is>
          <t>In pricing and procurement.</t>
        </is>
      </c>
    </row>
    <row r="20">
      <c r="B20" s="28" t="inlineStr">
        <is>
          <t>Before the cost figure is used for anything</t>
        </is>
      </c>
    </row>
    <row r="21" ht="48" customHeight="1">
      <c r="B21" s="29" t="inlineStr">
        <is>
          <t>Every successful request records the same fixed usage — 250 tokens in, 60 out — no matter what it was given. A 0.2 MB document and a 33 MB document both record 310 tokens. The breakdown by step and project is shaped correctly, but the absolute dollars are not real spend.</t>
        </is>
      </c>
      <c r="C21" s="30" t="n"/>
      <c r="D21" s="30" t="n"/>
    </row>
    <row r="23">
      <c r="B23" s="9" t="inlineStr">
        <is>
          <t>What we are asking for</t>
        </is>
      </c>
    </row>
    <row r="24" ht="22" customHeight="1">
      <c r="B24" s="17" t="inlineStr">
        <is>
          <t xml:space="preserve">     •   A decision on the data-classification policy, so ordinary tender documents can be processed by the AI.</t>
        </is>
      </c>
    </row>
    <row r="25" ht="22" customHeight="1">
      <c r="B25" s="17" t="inlineStr">
        <is>
          <t xml:space="preserve">     •   An owner for the approval queue — 1,367 items are waiting on a person.</t>
        </is>
      </c>
    </row>
    <row r="26" ht="22" customHeight="1">
      <c r="B26" s="17" t="inlineStr">
        <is>
          <t xml:space="preserve">     •   Sign-off on the test plan in Part 2, and the targets that go with it.</t>
        </is>
      </c>
    </row>
  </sheetData>
  <mergeCells count="5">
    <mergeCell ref="B26:D26"/>
    <mergeCell ref="B21:D21"/>
    <mergeCell ref="B25:D25"/>
    <mergeCell ref="B6:D6"/>
    <mergeCell ref="B24:D24"/>
  </mergeCells>
  <hyperlinks>
    <hyperlink xmlns:r="http://schemas.openxmlformats.org/officeDocument/2006/relationships" ref="A1" r:id="rId1"/>
  </hyperlinks>
  <pageMargins left="0.75" right="0.75" top="1" bottom="1" header="0.5" footer="0.5"/>
  <pageSetup orientation="landscape" fitToWidth="1"/>
</worksheet>
</file>

<file path=xl/worksheets/sheet3.xml><?xml version="1.0" encoding="utf-8"?>
<worksheet xmlns="http://schemas.openxmlformats.org/spreadsheetml/2006/main">
  <sheetPr>
    <tabColor rgb="000B5E52"/>
    <outlinePr summaryBelow="1" summaryRight="1"/>
    <pageSetUpPr fitToPage="1"/>
  </sheetPr>
  <dimension ref="A1:J22"/>
  <sheetViews>
    <sheetView showGridLines="0" workbookViewId="0">
      <pane ySplit="5" topLeftCell="A6" activePane="bottomLeft" state="frozen"/>
      <selection pane="bottomLeft" activeCell="A1" sqref="A1"/>
    </sheetView>
  </sheetViews>
  <sheetFormatPr baseColWidth="8" defaultRowHeight="15"/>
  <cols>
    <col width="5" customWidth="1" min="1" max="1"/>
    <col width="24" customWidth="1" min="2" max="2"/>
    <col width="40" customWidth="1" min="3" max="3"/>
    <col width="11" customWidth="1" min="4" max="4"/>
    <col width="10" customWidth="1" min="5" max="5"/>
    <col width="9" customWidth="1" min="6" max="6"/>
    <col width="13" customWidth="1" min="7" max="7"/>
    <col width="13" customWidth="1" min="8" max="8"/>
    <col width="12" customWidth="1" min="9" max="9"/>
    <col width="44" customWidth="1" min="10" max="10"/>
  </cols>
  <sheetData>
    <row r="1">
      <c r="A1" s="16" t="inlineStr">
        <is>
          <t>‹ Contents</t>
        </is>
      </c>
    </row>
    <row r="2" ht="26" customHeight="1">
      <c r="A2" s="1" t="inlineStr">
        <is>
          <t>Stage by stage</t>
        </is>
      </c>
    </row>
    <row r="3">
      <c r="A3" s="2" t="inlineStr">
        <is>
          <t>The bid chain in the order it runs, with how each step performed.</t>
        </is>
      </c>
    </row>
    <row r="5" ht="32" customHeight="1">
      <c r="A5" s="31" t="inlineStr">
        <is>
          <t>#</t>
        </is>
      </c>
      <c r="B5" s="31" t="inlineStr">
        <is>
          <t>Step</t>
        </is>
      </c>
      <c r="C5" s="31" t="inlineStr">
        <is>
          <t>What it does</t>
        </is>
      </c>
      <c r="D5" s="31" t="inlineStr">
        <is>
          <t>Requests</t>
        </is>
      </c>
      <c r="E5" s="31" t="inlineStr">
        <is>
          <t>Blocked</t>
        </is>
      </c>
      <c r="F5" s="31" t="inlineStr">
        <is>
          <t>Errors</t>
        </is>
      </c>
      <c r="G5" s="31" t="inlineStr">
        <is>
          <t>Typical time</t>
        </is>
      </c>
      <c r="H5" s="31" t="inlineStr">
        <is>
          <t>Queue wait</t>
        </is>
      </c>
      <c r="I5" s="31" t="inlineStr">
        <is>
          <t>Status</t>
        </is>
      </c>
      <c r="J5" s="31" t="inlineStr">
        <is>
          <t>What to read into it</t>
        </is>
      </c>
    </row>
    <row r="6" ht="24" customHeight="1">
      <c r="A6" s="32" t="n">
        <v>1</v>
      </c>
      <c r="B6" s="33" t="inlineStr">
        <is>
          <t>Reading documents</t>
        </is>
      </c>
      <c r="C6" s="34" t="inlineStr">
        <is>
          <t>Sorts and splits the uploaded tender pack</t>
        </is>
      </c>
      <c r="D6" s="35" t="n">
        <v>30</v>
      </c>
      <c r="E6" s="35" t="n">
        <v>15</v>
      </c>
      <c r="F6" s="35" t="n">
        <v>0</v>
      </c>
      <c r="G6" s="32" t="inlineStr">
        <is>
          <t>4 sec</t>
        </is>
      </c>
      <c r="H6" s="32" t="inlineStr">
        <is>
          <t>—</t>
        </is>
      </c>
      <c r="I6" s="36" t="inlineStr">
        <is>
          <t>Working</t>
        </is>
      </c>
      <c r="J6" s="34" t="inlineStr"/>
    </row>
    <row r="7" ht="24" customHeight="1">
      <c r="A7" s="37" t="n">
        <v>2</v>
      </c>
      <c r="B7" s="38" t="inlineStr">
        <is>
          <t>Tender reading</t>
        </is>
      </c>
      <c r="C7" s="39" t="inlineStr">
        <is>
          <t>Pulls summary, dates and requirements</t>
        </is>
      </c>
      <c r="D7" s="40" t="n">
        <v>6</v>
      </c>
      <c r="E7" s="40" t="n">
        <v>3</v>
      </c>
      <c r="F7" s="40" t="n">
        <v>0</v>
      </c>
      <c r="G7" s="37" t="inlineStr">
        <is>
          <t>4 min</t>
        </is>
      </c>
      <c r="H7" s="37" t="inlineStr">
        <is>
          <t>5 hrs</t>
        </is>
      </c>
      <c r="I7" s="41" t="inlineStr">
        <is>
          <t>Action</t>
        </is>
      </c>
      <c r="J7" s="39" t="inlineStr">
        <is>
          <t>Waits far longer than it takes to run.</t>
        </is>
      </c>
    </row>
    <row r="8" ht="24" customHeight="1">
      <c r="A8" s="37" t="n">
        <v>3</v>
      </c>
      <c r="B8" s="38" t="inlineStr">
        <is>
          <t>Bid / no-bid decision</t>
        </is>
      </c>
      <c r="C8" s="39" t="inlineStr">
        <is>
          <t>Recommends whether to pursue</t>
        </is>
      </c>
      <c r="D8" s="40" t="n">
        <v>2</v>
      </c>
      <c r="E8" s="40" t="n">
        <v>1</v>
      </c>
      <c r="F8" s="40" t="n">
        <v>0</v>
      </c>
      <c r="G8" s="37" t="inlineStr">
        <is>
          <t>6 min</t>
        </is>
      </c>
      <c r="H8" s="37" t="inlineStr">
        <is>
          <t>—</t>
        </is>
      </c>
      <c r="I8" s="41" t="inlineStr">
        <is>
          <t>Action</t>
        </is>
      </c>
      <c r="J8" s="39" t="inlineStr">
        <is>
          <t>Slow enough that a person would notice.</t>
        </is>
      </c>
    </row>
    <row r="9" ht="24" customHeight="1">
      <c r="A9" s="42" t="n">
        <v>4</v>
      </c>
      <c r="B9" s="43" t="inlineStr">
        <is>
          <t>Specification reading</t>
        </is>
      </c>
      <c r="C9" s="44" t="inlineStr">
        <is>
          <t>Extracts clauses from the specification</t>
        </is>
      </c>
      <c r="D9" s="45" t="n">
        <v>2</v>
      </c>
      <c r="E9" s="45" t="n">
        <v>1</v>
      </c>
      <c r="F9" s="45" t="n">
        <v>0</v>
      </c>
      <c r="G9" s="42" t="inlineStr">
        <is>
          <t>2 sec</t>
        </is>
      </c>
      <c r="H9" s="42" t="inlineStr">
        <is>
          <t>—</t>
        </is>
      </c>
      <c r="I9" s="46" t="inlineStr">
        <is>
          <t>Working</t>
        </is>
      </c>
      <c r="J9" s="44" t="inlineStr"/>
    </row>
    <row r="10" ht="24" customHeight="1">
      <c r="A10" s="37" t="n">
        <v>5</v>
      </c>
      <c r="B10" s="38" t="inlineStr">
        <is>
          <t>Drawing indexing</t>
        </is>
      </c>
      <c r="C10" s="39" t="inlineStr">
        <is>
          <t>Catalogues each drawing sheet</t>
        </is>
      </c>
      <c r="D10" s="40" t="n">
        <v>0</v>
      </c>
      <c r="E10" s="40" t="n">
        <v>0</v>
      </c>
      <c r="F10" s="40" t="n">
        <v>0</v>
      </c>
      <c r="G10" s="37" t="inlineStr">
        <is>
          <t>—</t>
        </is>
      </c>
      <c r="H10" s="37" t="inlineStr">
        <is>
          <t>—</t>
        </is>
      </c>
      <c r="I10" s="41" t="inlineStr">
        <is>
          <t>Blocked</t>
        </is>
      </c>
      <c r="J10" s="39" t="inlineStr">
        <is>
          <t>Never ran. Nothing produced at all.</t>
        </is>
      </c>
    </row>
    <row r="11" ht="24" customHeight="1">
      <c r="A11" s="37" t="n">
        <v>6</v>
      </c>
      <c r="B11" s="38" t="inlineStr">
        <is>
          <t>Drawing take-off</t>
        </is>
      </c>
      <c r="C11" s="39" t="inlineStr">
        <is>
          <t>Measures quantities off the drawings</t>
        </is>
      </c>
      <c r="D11" s="40" t="n">
        <v>0</v>
      </c>
      <c r="E11" s="40" t="n">
        <v>0</v>
      </c>
      <c r="F11" s="40" t="n">
        <v>0</v>
      </c>
      <c r="G11" s="37" t="inlineStr">
        <is>
          <t>—</t>
        </is>
      </c>
      <c r="H11" s="37" t="inlineStr">
        <is>
          <t>—</t>
        </is>
      </c>
      <c r="I11" s="41" t="inlineStr">
        <is>
          <t>Blocked</t>
        </is>
      </c>
      <c r="J11" s="39" t="inlineStr">
        <is>
          <t>Never ran. Nothing produced at all.</t>
        </is>
      </c>
    </row>
    <row r="12" ht="24" customHeight="1">
      <c r="A12" s="32" t="n">
        <v>7</v>
      </c>
      <c r="B12" s="33" t="inlineStr">
        <is>
          <t>Bill of quantities</t>
        </is>
      </c>
      <c r="C12" s="34" t="inlineStr">
        <is>
          <t>Turns measurements into bill lines</t>
        </is>
      </c>
      <c r="D12" s="35" t="n">
        <v>6</v>
      </c>
      <c r="E12" s="35" t="n">
        <v>3</v>
      </c>
      <c r="F12" s="35" t="n">
        <v>0</v>
      </c>
      <c r="G12" s="32" t="inlineStr">
        <is>
          <t>2 min</t>
        </is>
      </c>
      <c r="H12" s="32" t="inlineStr">
        <is>
          <t>—</t>
        </is>
      </c>
      <c r="I12" s="36" t="inlineStr">
        <is>
          <t>Working</t>
        </is>
      </c>
      <c r="J12" s="34" t="inlineStr"/>
    </row>
    <row r="13" ht="24" customHeight="1">
      <c r="A13" s="37" t="n">
        <v>8</v>
      </c>
      <c r="B13" s="38" t="inlineStr">
        <is>
          <t>Pricing</t>
        </is>
      </c>
      <c r="C13" s="39" t="inlineStr">
        <is>
          <t>Applies rates to the bill lines</t>
        </is>
      </c>
      <c r="D13" s="40" t="n">
        <v>4</v>
      </c>
      <c r="E13" s="40" t="n">
        <v>2</v>
      </c>
      <c r="F13" s="40" t="n">
        <v>1</v>
      </c>
      <c r="G13" s="37" t="inlineStr">
        <is>
          <t>5 min</t>
        </is>
      </c>
      <c r="H13" s="37" t="inlineStr">
        <is>
          <t>4 hrs</t>
        </is>
      </c>
      <c r="I13" s="41" t="inlineStr">
        <is>
          <t>Action</t>
        </is>
      </c>
      <c r="J13" s="39" t="inlineStr">
        <is>
          <t>Waits far longer than it takes to run.</t>
        </is>
      </c>
    </row>
    <row r="14" ht="24" customHeight="1">
      <c r="A14" s="37" t="n">
        <v>9</v>
      </c>
      <c r="B14" s="38" t="inlineStr">
        <is>
          <t>Compliance checks</t>
        </is>
      </c>
      <c r="C14" s="39" t="inlineStr">
        <is>
          <t>Checks the bid against requirements</t>
        </is>
      </c>
      <c r="D14" s="40" t="n">
        <v>6</v>
      </c>
      <c r="E14" s="40" t="n">
        <v>3</v>
      </c>
      <c r="F14" s="40" t="n">
        <v>0</v>
      </c>
      <c r="G14" s="37" t="inlineStr">
        <is>
          <t>2 sec</t>
        </is>
      </c>
      <c r="H14" s="37" t="inlineStr">
        <is>
          <t>5 hrs</t>
        </is>
      </c>
      <c r="I14" s="41" t="inlineStr">
        <is>
          <t>Action</t>
        </is>
      </c>
      <c r="J14" s="39" t="inlineStr">
        <is>
          <t>Waits far longer than it takes to run.</t>
        </is>
      </c>
    </row>
    <row r="15" ht="24" customHeight="1">
      <c r="A15" s="42" t="n">
        <v>10</v>
      </c>
      <c r="B15" s="43" t="inlineStr">
        <is>
          <t>Risk assessment</t>
        </is>
      </c>
      <c r="C15" s="44" t="inlineStr">
        <is>
          <t>Flags risks on the bid</t>
        </is>
      </c>
      <c r="D15" s="45" t="n">
        <v>4</v>
      </c>
      <c r="E15" s="45" t="n">
        <v>2</v>
      </c>
      <c r="F15" s="45" t="n">
        <v>0</v>
      </c>
      <c r="G15" s="42" t="inlineStr">
        <is>
          <t>10 sec</t>
        </is>
      </c>
      <c r="H15" s="42" t="inlineStr">
        <is>
          <t>—</t>
        </is>
      </c>
      <c r="I15" s="46" t="inlineStr">
        <is>
          <t>Working</t>
        </is>
      </c>
      <c r="J15" s="44" t="inlineStr"/>
    </row>
    <row r="16" ht="24" customHeight="1">
      <c r="A16" s="37" t="n">
        <v>11</v>
      </c>
      <c r="B16" s="38" t="inlineStr">
        <is>
          <t>Programme / schedule</t>
        </is>
      </c>
      <c r="C16" s="39" t="inlineStr">
        <is>
          <t>Builds the works programme</t>
        </is>
      </c>
      <c r="D16" s="40" t="n">
        <v>2</v>
      </c>
      <c r="E16" s="40" t="n">
        <v>1</v>
      </c>
      <c r="F16" s="40" t="n">
        <v>0</v>
      </c>
      <c r="G16" s="37" t="inlineStr">
        <is>
          <t>16 sec</t>
        </is>
      </c>
      <c r="H16" s="37" t="inlineStr">
        <is>
          <t>37 hrs</t>
        </is>
      </c>
      <c r="I16" s="41" t="inlineStr">
        <is>
          <t>Action</t>
        </is>
      </c>
      <c r="J16" s="39" t="inlineStr">
        <is>
          <t>Waits far longer than it takes to run.</t>
        </is>
      </c>
    </row>
    <row r="17" ht="24" customHeight="1">
      <c r="A17" s="37" t="n">
        <v>12</v>
      </c>
      <c r="B17" s="38" t="inlineStr">
        <is>
          <t>Procurement packages</t>
        </is>
      </c>
      <c r="C17" s="39" t="inlineStr">
        <is>
          <t>Groups bill lines into packages</t>
        </is>
      </c>
      <c r="D17" s="40" t="n">
        <v>2</v>
      </c>
      <c r="E17" s="40" t="n">
        <v>1</v>
      </c>
      <c r="F17" s="40" t="n">
        <v>1</v>
      </c>
      <c r="G17" s="37" t="inlineStr">
        <is>
          <t>8 sec</t>
        </is>
      </c>
      <c r="H17" s="37" t="inlineStr">
        <is>
          <t>26 hrs</t>
        </is>
      </c>
      <c r="I17" s="41" t="inlineStr">
        <is>
          <t>Action</t>
        </is>
      </c>
      <c r="J17" s="39" t="inlineStr">
        <is>
          <t>Waits far longer than it takes to run.</t>
        </is>
      </c>
    </row>
    <row r="18" ht="24" customHeight="1">
      <c r="A18" s="37" t="n">
        <v>13</v>
      </c>
      <c r="B18" s="38" t="inlineStr">
        <is>
          <t>Technical narrative</t>
        </is>
      </c>
      <c r="C18" s="39" t="inlineStr">
        <is>
          <t>Writes the technical submission</t>
        </is>
      </c>
      <c r="D18" s="40" t="n">
        <v>0</v>
      </c>
      <c r="E18" s="40" t="n">
        <v>0</v>
      </c>
      <c r="F18" s="40" t="n">
        <v>0</v>
      </c>
      <c r="G18" s="37" t="inlineStr">
        <is>
          <t>—</t>
        </is>
      </c>
      <c r="H18" s="37" t="inlineStr">
        <is>
          <t>—</t>
        </is>
      </c>
      <c r="I18" s="41" t="inlineStr">
        <is>
          <t>Blocked</t>
        </is>
      </c>
      <c r="J18" s="39" t="inlineStr">
        <is>
          <t>Never ran. Nothing produced at all.</t>
        </is>
      </c>
    </row>
    <row r="19" ht="24" customHeight="1">
      <c r="A19" s="42" t="n">
        <v>14</v>
      </c>
      <c r="B19" s="43" t="inlineStr">
        <is>
          <t>Proposal writing</t>
        </is>
      </c>
      <c r="C19" s="44" t="inlineStr">
        <is>
          <t>Drafts the proposal document</t>
        </is>
      </c>
      <c r="D19" s="45" t="n">
        <v>6</v>
      </c>
      <c r="E19" s="45" t="n">
        <v>3</v>
      </c>
      <c r="F19" s="45" t="n">
        <v>0</v>
      </c>
      <c r="G19" s="42" t="inlineStr">
        <is>
          <t>1 sec</t>
        </is>
      </c>
      <c r="H19" s="42" t="inlineStr">
        <is>
          <t>—</t>
        </is>
      </c>
      <c r="I19" s="46" t="inlineStr">
        <is>
          <t>Working</t>
        </is>
      </c>
      <c r="J19" s="44" t="inlineStr"/>
    </row>
    <row r="20" ht="24" customHeight="1">
      <c r="A20" s="32" t="n">
        <v>15</v>
      </c>
      <c r="B20" s="33" t="inlineStr">
        <is>
          <t>Bid approval pack</t>
        </is>
      </c>
      <c r="C20" s="34" t="inlineStr">
        <is>
          <t>Assembles the approval pack</t>
        </is>
      </c>
      <c r="D20" s="35" t="n">
        <v>6</v>
      </c>
      <c r="E20" s="35" t="n">
        <v>3</v>
      </c>
      <c r="F20" s="35" t="n">
        <v>0</v>
      </c>
      <c r="G20" s="32" t="inlineStr">
        <is>
          <t>2 sec</t>
        </is>
      </c>
      <c r="H20" s="32" t="inlineStr">
        <is>
          <t>—</t>
        </is>
      </c>
      <c r="I20" s="36" t="inlineStr">
        <is>
          <t>Working</t>
        </is>
      </c>
      <c r="J20" s="34" t="inlineStr"/>
    </row>
    <row r="21" ht="24" customHeight="1">
      <c r="A21" s="42" t="n">
        <v>16</v>
      </c>
      <c r="B21" s="43" t="inlineStr">
        <is>
          <t>Client clarifications</t>
        </is>
      </c>
      <c r="C21" s="44" t="inlineStr">
        <is>
          <t>Drafts questions back to the client</t>
        </is>
      </c>
      <c r="D21" s="45" t="n">
        <v>2</v>
      </c>
      <c r="E21" s="45" t="n">
        <v>1</v>
      </c>
      <c r="F21" s="45" t="n">
        <v>0</v>
      </c>
      <c r="G21" s="42" t="inlineStr">
        <is>
          <t>10 sec</t>
        </is>
      </c>
      <c r="H21" s="42" t="inlineStr">
        <is>
          <t>—</t>
        </is>
      </c>
      <c r="I21" s="46" t="inlineStr">
        <is>
          <t>Working</t>
        </is>
      </c>
      <c r="J21" s="44" t="inlineStr"/>
    </row>
    <row r="22" ht="24" customHeight="1">
      <c r="A22" s="32" t="n">
        <v>17</v>
      </c>
      <c r="B22" s="33" t="inlineStr">
        <is>
          <t>Copilot answers</t>
        </is>
      </c>
      <c r="C22" s="34" t="inlineStr">
        <is>
          <t>Answers questions people ask</t>
        </is>
      </c>
      <c r="D22" s="35" t="n">
        <v>10</v>
      </c>
      <c r="E22" s="35" t="n">
        <v>5</v>
      </c>
      <c r="F22" s="35" t="n">
        <v>0</v>
      </c>
      <c r="G22" s="32" t="inlineStr">
        <is>
          <t>4 sec</t>
        </is>
      </c>
      <c r="H22" s="32" t="inlineStr">
        <is>
          <t>—</t>
        </is>
      </c>
      <c r="I22" s="36" t="inlineStr">
        <is>
          <t>Working</t>
        </is>
      </c>
      <c r="J22" s="34" t="inlineStr"/>
    </row>
  </sheetData>
  <autoFilter ref="A5:J22"/>
  <conditionalFormatting sqref="D6:D22">
    <cfRule type="dataBar" priority="1">
      <dataBar>
        <cfvo type="num" val="0"/>
        <cfvo type="max"/>
        <color rgb="00177A5E"/>
      </dataBar>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4.xml><?xml version="1.0" encoding="utf-8"?>
<worksheet xmlns="http://schemas.openxmlformats.org/spreadsheetml/2006/main">
  <sheetPr>
    <tabColor rgb="000B5E52"/>
    <outlinePr summaryBelow="1" summaryRight="1"/>
    <pageSetUpPr fitToPage="1"/>
  </sheetPr>
  <dimension ref="A1:L25"/>
  <sheetViews>
    <sheetView showGridLines="0" workbookViewId="0">
      <pane ySplit="5" topLeftCell="A6" activePane="bottomLeft" state="frozen"/>
      <selection pane="bottomLeft" activeCell="A1" sqref="A1"/>
    </sheetView>
  </sheetViews>
  <sheetFormatPr baseColWidth="8" defaultRowHeight="15"/>
  <cols>
    <col width="5" customWidth="1" min="1" max="1"/>
    <col width="24" customWidth="1" min="2" max="2"/>
    <col width="11" customWidth="1" min="3" max="3"/>
    <col width="10" customWidth="1" min="4" max="4"/>
    <col width="8" customWidth="1" min="5" max="5"/>
    <col width="12" customWidth="1" min="6" max="6"/>
    <col width="12" customWidth="1" min="7" max="7"/>
    <col width="13" customWidth="1" min="8" max="8"/>
    <col width="12" customWidth="1" min="9" max="9"/>
    <col width="13" customWidth="1" min="10" max="10"/>
    <col width="11" customWidth="1" min="11" max="11"/>
    <col width="13" customWidth="1" min="12" max="12"/>
  </cols>
  <sheetData>
    <row r="1">
      <c r="A1" s="16" t="inlineStr">
        <is>
          <t>‹ Contents</t>
        </is>
      </c>
    </row>
    <row r="2" ht="26" customHeight="1">
      <c r="A2" s="1" t="inlineStr">
        <is>
          <t>Tokens and cost — by step</t>
        </is>
      </c>
    </row>
    <row r="3">
      <c r="A3" s="2" t="inlineStr">
        <is>
          <t>Tokens in and out are calls x the average returned, and add to the total returned. Reconciles to the project sheet.</t>
        </is>
      </c>
    </row>
    <row r="5" ht="32" customHeight="1">
      <c r="A5" s="31" t="inlineStr">
        <is>
          <t>#</t>
        </is>
      </c>
      <c r="B5" s="31" t="inlineStr">
        <is>
          <t>Step</t>
        </is>
      </c>
      <c r="C5" s="31" t="inlineStr">
        <is>
          <t>Requests</t>
        </is>
      </c>
      <c r="D5" s="31" t="inlineStr">
        <is>
          <t>Blocked</t>
        </is>
      </c>
      <c r="E5" s="31" t="inlineStr">
        <is>
          <t>Errors</t>
        </is>
      </c>
      <c r="F5" s="31" t="inlineStr">
        <is>
          <t>Tokens in</t>
        </is>
      </c>
      <c r="G5" s="31" t="inlineStr">
        <is>
          <t>Tokens out</t>
        </is>
      </c>
      <c r="H5" s="31" t="inlineStr">
        <is>
          <t>Total tokens</t>
        </is>
      </c>
      <c r="I5" s="31" t="inlineStr">
        <is>
          <t>Cost</t>
        </is>
      </c>
      <c r="J5" s="31" t="inlineStr">
        <is>
          <t>Cost / request</t>
        </is>
      </c>
      <c r="K5" s="31" t="inlineStr">
        <is>
          <t>% of cost</t>
        </is>
      </c>
      <c r="L5" s="31" t="inlineStr">
        <is>
          <t>Running cost</t>
        </is>
      </c>
    </row>
    <row r="6" ht="21" customHeight="1">
      <c r="A6" s="47" t="n">
        <v>1</v>
      </c>
      <c r="B6" s="48" t="inlineStr">
        <is>
          <t>Reading documents</t>
        </is>
      </c>
      <c r="C6" s="49" t="n">
        <v>30</v>
      </c>
      <c r="D6" s="49" t="n">
        <v>15</v>
      </c>
      <c r="E6" s="49" t="n">
        <v>0</v>
      </c>
      <c r="F6" s="49" t="n">
        <v>7500</v>
      </c>
      <c r="G6" s="49" t="n">
        <v>1800</v>
      </c>
      <c r="H6" s="49" t="n">
        <v>9300</v>
      </c>
      <c r="I6" s="50" t="n">
        <v>1.2</v>
      </c>
      <c r="J6" s="51" t="n">
        <v>0.04</v>
      </c>
      <c r="K6" s="52" t="n">
        <v>0.3571428571428572</v>
      </c>
      <c r="L6" s="50" t="n">
        <v>1.2</v>
      </c>
    </row>
    <row r="7" ht="21" customHeight="1">
      <c r="A7" s="53" t="n">
        <v>2</v>
      </c>
      <c r="B7" s="54" t="inlineStr">
        <is>
          <t>Tender reading</t>
        </is>
      </c>
      <c r="C7" s="55" t="n">
        <v>6</v>
      </c>
      <c r="D7" s="55" t="n">
        <v>3</v>
      </c>
      <c r="E7" s="55" t="n">
        <v>0</v>
      </c>
      <c r="F7" s="55" t="n">
        <v>1500</v>
      </c>
      <c r="G7" s="55" t="n">
        <v>360</v>
      </c>
      <c r="H7" s="55" t="n">
        <v>1860</v>
      </c>
      <c r="I7" s="56" t="n">
        <v>0.24</v>
      </c>
      <c r="J7" s="57" t="n">
        <v>0.04</v>
      </c>
      <c r="K7" s="58" t="n">
        <v>0.07142857142857142</v>
      </c>
      <c r="L7" s="56" t="n">
        <v>1.44</v>
      </c>
    </row>
    <row r="8" ht="21" customHeight="1">
      <c r="A8" s="47" t="n">
        <v>3</v>
      </c>
      <c r="B8" s="48" t="inlineStr">
        <is>
          <t>Bid / no-bid decision</t>
        </is>
      </c>
      <c r="C8" s="49" t="n">
        <v>2</v>
      </c>
      <c r="D8" s="49" t="n">
        <v>1</v>
      </c>
      <c r="E8" s="49" t="n">
        <v>0</v>
      </c>
      <c r="F8" s="49" t="n">
        <v>500</v>
      </c>
      <c r="G8" s="49" t="n">
        <v>120</v>
      </c>
      <c r="H8" s="49" t="n">
        <v>620</v>
      </c>
      <c r="I8" s="50" t="n">
        <v>0.08</v>
      </c>
      <c r="J8" s="51" t="n">
        <v>0.04</v>
      </c>
      <c r="K8" s="52" t="n">
        <v>0.02380952380952381</v>
      </c>
      <c r="L8" s="50" t="n">
        <v>1.52</v>
      </c>
    </row>
    <row r="9" ht="21" customHeight="1">
      <c r="A9" s="53" t="n">
        <v>4</v>
      </c>
      <c r="B9" s="54" t="inlineStr">
        <is>
          <t>Specification reading</t>
        </is>
      </c>
      <c r="C9" s="55" t="n">
        <v>2</v>
      </c>
      <c r="D9" s="55" t="n">
        <v>1</v>
      </c>
      <c r="E9" s="55" t="n">
        <v>0</v>
      </c>
      <c r="F9" s="55" t="n">
        <v>500</v>
      </c>
      <c r="G9" s="55" t="n">
        <v>120</v>
      </c>
      <c r="H9" s="55" t="n">
        <v>620</v>
      </c>
      <c r="I9" s="56" t="n">
        <v>0.08</v>
      </c>
      <c r="J9" s="57" t="n">
        <v>0.04</v>
      </c>
      <c r="K9" s="58" t="n">
        <v>0.02380952380952381</v>
      </c>
      <c r="L9" s="56" t="n">
        <v>1.6</v>
      </c>
    </row>
    <row r="10" ht="21" customHeight="1">
      <c r="A10" s="59" t="n">
        <v>5</v>
      </c>
      <c r="B10" s="60" t="inlineStr">
        <is>
          <t>Drawing indexing</t>
        </is>
      </c>
      <c r="C10" s="61" t="n">
        <v>0</v>
      </c>
      <c r="D10" s="61" t="n">
        <v>0</v>
      </c>
      <c r="E10" s="61" t="n">
        <v>0</v>
      </c>
      <c r="F10" s="61" t="n">
        <v>0</v>
      </c>
      <c r="G10" s="61" t="n">
        <v>0</v>
      </c>
      <c r="H10" s="61" t="n">
        <v>0</v>
      </c>
      <c r="I10" s="62" t="n">
        <v>0</v>
      </c>
      <c r="J10" s="63" t="n">
        <v>0</v>
      </c>
      <c r="K10" s="64" t="n">
        <v>0</v>
      </c>
      <c r="L10" s="62" t="n">
        <v>1.6</v>
      </c>
    </row>
    <row r="11" ht="21" customHeight="1">
      <c r="A11" s="59" t="n">
        <v>6</v>
      </c>
      <c r="B11" s="60" t="inlineStr">
        <is>
          <t>Drawing take-off</t>
        </is>
      </c>
      <c r="C11" s="61" t="n">
        <v>0</v>
      </c>
      <c r="D11" s="61" t="n">
        <v>0</v>
      </c>
      <c r="E11" s="61" t="n">
        <v>0</v>
      </c>
      <c r="F11" s="61" t="n">
        <v>0</v>
      </c>
      <c r="G11" s="61" t="n">
        <v>0</v>
      </c>
      <c r="H11" s="61" t="n">
        <v>0</v>
      </c>
      <c r="I11" s="62" t="n">
        <v>0</v>
      </c>
      <c r="J11" s="63" t="n">
        <v>0</v>
      </c>
      <c r="K11" s="64" t="n">
        <v>0</v>
      </c>
      <c r="L11" s="62" t="n">
        <v>1.6</v>
      </c>
    </row>
    <row r="12" ht="21" customHeight="1">
      <c r="A12" s="47" t="n">
        <v>7</v>
      </c>
      <c r="B12" s="48" t="inlineStr">
        <is>
          <t>Bill of quantities</t>
        </is>
      </c>
      <c r="C12" s="49" t="n">
        <v>6</v>
      </c>
      <c r="D12" s="49" t="n">
        <v>3</v>
      </c>
      <c r="E12" s="49" t="n">
        <v>0</v>
      </c>
      <c r="F12" s="49" t="n">
        <v>1500</v>
      </c>
      <c r="G12" s="49" t="n">
        <v>360</v>
      </c>
      <c r="H12" s="49" t="n">
        <v>1860</v>
      </c>
      <c r="I12" s="50" t="n">
        <v>0.24</v>
      </c>
      <c r="J12" s="51" t="n">
        <v>0.04</v>
      </c>
      <c r="K12" s="52" t="n">
        <v>0.07142857142857142</v>
      </c>
      <c r="L12" s="50" t="n">
        <v>1.84</v>
      </c>
    </row>
    <row r="13" ht="21" customHeight="1">
      <c r="A13" s="53" t="n">
        <v>8</v>
      </c>
      <c r="B13" s="54" t="inlineStr">
        <is>
          <t>Pricing</t>
        </is>
      </c>
      <c r="C13" s="55" t="n">
        <v>4</v>
      </c>
      <c r="D13" s="55" t="n">
        <v>2</v>
      </c>
      <c r="E13" s="55" t="n">
        <v>1</v>
      </c>
      <c r="F13" s="55" t="n">
        <v>500</v>
      </c>
      <c r="G13" s="55" t="n">
        <v>120</v>
      </c>
      <c r="H13" s="55" t="n">
        <v>620</v>
      </c>
      <c r="I13" s="56" t="n">
        <v>0.08</v>
      </c>
      <c r="J13" s="57" t="n">
        <v>0.02</v>
      </c>
      <c r="K13" s="58" t="n">
        <v>0.02380952380952381</v>
      </c>
      <c r="L13" s="56" t="n">
        <v>1.92</v>
      </c>
    </row>
    <row r="14" ht="21" customHeight="1">
      <c r="A14" s="47" t="n">
        <v>9</v>
      </c>
      <c r="B14" s="48" t="inlineStr">
        <is>
          <t>Compliance checks</t>
        </is>
      </c>
      <c r="C14" s="49" t="n">
        <v>6</v>
      </c>
      <c r="D14" s="49" t="n">
        <v>3</v>
      </c>
      <c r="E14" s="49" t="n">
        <v>0</v>
      </c>
      <c r="F14" s="49" t="n">
        <v>1500</v>
      </c>
      <c r="G14" s="49" t="n">
        <v>360</v>
      </c>
      <c r="H14" s="49" t="n">
        <v>1860</v>
      </c>
      <c r="I14" s="50" t="n">
        <v>0.24</v>
      </c>
      <c r="J14" s="51" t="n">
        <v>0.04</v>
      </c>
      <c r="K14" s="52" t="n">
        <v>0.07142857142857142</v>
      </c>
      <c r="L14" s="50" t="n">
        <v>2.16</v>
      </c>
    </row>
    <row r="15" ht="21" customHeight="1">
      <c r="A15" s="53" t="n">
        <v>10</v>
      </c>
      <c r="B15" s="54" t="inlineStr">
        <is>
          <t>Risk assessment</t>
        </is>
      </c>
      <c r="C15" s="55" t="n">
        <v>4</v>
      </c>
      <c r="D15" s="55" t="n">
        <v>2</v>
      </c>
      <c r="E15" s="55" t="n">
        <v>0</v>
      </c>
      <c r="F15" s="55" t="n">
        <v>1000</v>
      </c>
      <c r="G15" s="55" t="n">
        <v>240</v>
      </c>
      <c r="H15" s="55" t="n">
        <v>1240</v>
      </c>
      <c r="I15" s="56" t="n">
        <v>0.16</v>
      </c>
      <c r="J15" s="57" t="n">
        <v>0.04</v>
      </c>
      <c r="K15" s="58" t="n">
        <v>0.04761904761904762</v>
      </c>
      <c r="L15" s="56" t="n">
        <v>2.32</v>
      </c>
    </row>
    <row r="16" ht="21" customHeight="1">
      <c r="A16" s="47" t="n">
        <v>11</v>
      </c>
      <c r="B16" s="48" t="inlineStr">
        <is>
          <t>Programme / schedule</t>
        </is>
      </c>
      <c r="C16" s="49" t="n">
        <v>2</v>
      </c>
      <c r="D16" s="49" t="n">
        <v>1</v>
      </c>
      <c r="E16" s="49" t="n">
        <v>0</v>
      </c>
      <c r="F16" s="49" t="n">
        <v>500</v>
      </c>
      <c r="G16" s="49" t="n">
        <v>120</v>
      </c>
      <c r="H16" s="49" t="n">
        <v>620</v>
      </c>
      <c r="I16" s="50" t="n">
        <v>0.08</v>
      </c>
      <c r="J16" s="51" t="n">
        <v>0.04</v>
      </c>
      <c r="K16" s="52" t="n">
        <v>0.02380952380952381</v>
      </c>
      <c r="L16" s="50" t="n">
        <v>2.4</v>
      </c>
    </row>
    <row r="17" ht="21" customHeight="1">
      <c r="A17" s="53" t="n">
        <v>12</v>
      </c>
      <c r="B17" s="54" t="inlineStr">
        <is>
          <t>Procurement packages</t>
        </is>
      </c>
      <c r="C17" s="55" t="n">
        <v>2</v>
      </c>
      <c r="D17" s="55" t="n">
        <v>1</v>
      </c>
      <c r="E17" s="55" t="n">
        <v>1</v>
      </c>
      <c r="F17" s="55" t="n">
        <v>0</v>
      </c>
      <c r="G17" s="55" t="n">
        <v>0</v>
      </c>
      <c r="H17" s="55" t="n">
        <v>0</v>
      </c>
      <c r="I17" s="56" t="n">
        <v>0</v>
      </c>
      <c r="J17" s="57" t="n">
        <v>0</v>
      </c>
      <c r="K17" s="58" t="n">
        <v>0</v>
      </c>
      <c r="L17" s="56" t="n">
        <v>2.4</v>
      </c>
    </row>
    <row r="18" ht="21" customHeight="1">
      <c r="A18" s="59" t="n">
        <v>13</v>
      </c>
      <c r="B18" s="60" t="inlineStr">
        <is>
          <t>Technical narrative</t>
        </is>
      </c>
      <c r="C18" s="61" t="n">
        <v>0</v>
      </c>
      <c r="D18" s="61" t="n">
        <v>0</v>
      </c>
      <c r="E18" s="61" t="n">
        <v>0</v>
      </c>
      <c r="F18" s="61" t="n">
        <v>0</v>
      </c>
      <c r="G18" s="61" t="n">
        <v>0</v>
      </c>
      <c r="H18" s="61" t="n">
        <v>0</v>
      </c>
      <c r="I18" s="62" t="n">
        <v>0</v>
      </c>
      <c r="J18" s="63" t="n">
        <v>0</v>
      </c>
      <c r="K18" s="64" t="n">
        <v>0</v>
      </c>
      <c r="L18" s="62" t="n">
        <v>2.4</v>
      </c>
    </row>
    <row r="19" ht="21" customHeight="1">
      <c r="A19" s="53" t="n">
        <v>14</v>
      </c>
      <c r="B19" s="54" t="inlineStr">
        <is>
          <t>Proposal writing</t>
        </is>
      </c>
      <c r="C19" s="55" t="n">
        <v>6</v>
      </c>
      <c r="D19" s="55" t="n">
        <v>3</v>
      </c>
      <c r="E19" s="55" t="n">
        <v>0</v>
      </c>
      <c r="F19" s="55" t="n">
        <v>1500</v>
      </c>
      <c r="G19" s="55" t="n">
        <v>360</v>
      </c>
      <c r="H19" s="55" t="n">
        <v>1860</v>
      </c>
      <c r="I19" s="56" t="n">
        <v>0.24</v>
      </c>
      <c r="J19" s="57" t="n">
        <v>0.04</v>
      </c>
      <c r="K19" s="58" t="n">
        <v>0.07142857142857142</v>
      </c>
      <c r="L19" s="56" t="n">
        <v>2.640000000000001</v>
      </c>
    </row>
    <row r="20" ht="21" customHeight="1">
      <c r="A20" s="47" t="n">
        <v>15</v>
      </c>
      <c r="B20" s="48" t="inlineStr">
        <is>
          <t>Bid approval pack</t>
        </is>
      </c>
      <c r="C20" s="49" t="n">
        <v>6</v>
      </c>
      <c r="D20" s="49" t="n">
        <v>3</v>
      </c>
      <c r="E20" s="49" t="n">
        <v>0</v>
      </c>
      <c r="F20" s="49" t="n">
        <v>1500</v>
      </c>
      <c r="G20" s="49" t="n">
        <v>360</v>
      </c>
      <c r="H20" s="49" t="n">
        <v>1860</v>
      </c>
      <c r="I20" s="50" t="n">
        <v>0.24</v>
      </c>
      <c r="J20" s="51" t="n">
        <v>0.04</v>
      </c>
      <c r="K20" s="52" t="n">
        <v>0.07142857142857142</v>
      </c>
      <c r="L20" s="50" t="n">
        <v>2.880000000000001</v>
      </c>
    </row>
    <row r="21" ht="21" customHeight="1">
      <c r="A21" s="53" t="n">
        <v>16</v>
      </c>
      <c r="B21" s="54" t="inlineStr">
        <is>
          <t>Client clarifications</t>
        </is>
      </c>
      <c r="C21" s="55" t="n">
        <v>2</v>
      </c>
      <c r="D21" s="55" t="n">
        <v>1</v>
      </c>
      <c r="E21" s="55" t="n">
        <v>0</v>
      </c>
      <c r="F21" s="55" t="n">
        <v>500</v>
      </c>
      <c r="G21" s="55" t="n">
        <v>120</v>
      </c>
      <c r="H21" s="55" t="n">
        <v>620</v>
      </c>
      <c r="I21" s="56" t="n">
        <v>0.08</v>
      </c>
      <c r="J21" s="57" t="n">
        <v>0.04</v>
      </c>
      <c r="K21" s="58" t="n">
        <v>0.02380952380952381</v>
      </c>
      <c r="L21" s="56" t="n">
        <v>2.960000000000001</v>
      </c>
    </row>
    <row r="22" ht="21" customHeight="1">
      <c r="A22" s="47" t="n">
        <v>17</v>
      </c>
      <c r="B22" s="48" t="inlineStr">
        <is>
          <t>Copilot answers</t>
        </is>
      </c>
      <c r="C22" s="49" t="n">
        <v>10</v>
      </c>
      <c r="D22" s="49" t="n">
        <v>5</v>
      </c>
      <c r="E22" s="49" t="n">
        <v>0</v>
      </c>
      <c r="F22" s="49" t="n">
        <v>2500</v>
      </c>
      <c r="G22" s="49" t="n">
        <v>600</v>
      </c>
      <c r="H22" s="49" t="n">
        <v>3100</v>
      </c>
      <c r="I22" s="50" t="n">
        <v>0.4</v>
      </c>
      <c r="J22" s="51" t="n">
        <v>0.04</v>
      </c>
      <c r="K22" s="52" t="n">
        <v>0.1190476190476191</v>
      </c>
      <c r="L22" s="50" t="n">
        <v>3.360000000000001</v>
      </c>
    </row>
    <row r="23">
      <c r="A23" s="65" t="n"/>
      <c r="B23" s="66" t="inlineStr">
        <is>
          <t>TOTAL</t>
        </is>
      </c>
      <c r="C23" s="67" t="n">
        <v>88</v>
      </c>
      <c r="D23" s="67" t="n">
        <v>44</v>
      </c>
      <c r="E23" s="67" t="n">
        <v>2</v>
      </c>
      <c r="F23" s="67" t="n">
        <v>21000</v>
      </c>
      <c r="G23" s="67" t="n">
        <v>5040</v>
      </c>
      <c r="H23" s="67" t="n">
        <v>26040</v>
      </c>
      <c r="I23" s="68" t="n">
        <v>3.36</v>
      </c>
      <c r="J23" s="69" t="n">
        <v>0.03818181818181818</v>
      </c>
      <c r="K23" s="70" t="n">
        <v>1</v>
      </c>
      <c r="L23" s="68" t="n">
        <v>3.36</v>
      </c>
    </row>
    <row r="25" ht="44" customHeight="1">
      <c r="A25" s="71" t="inlineStr">
        <is>
          <t>Reading documents is 36% of all cost on its own — it runs once per uploaded file, so it scales with the size of the tender pack rather than the number of bids. Blocked requests cost nothing, so the true cost per completed request is roughly double the column shown. Blended rate: $0.1290 per 1,000 tokens.</t>
        </is>
      </c>
    </row>
  </sheetData>
  <mergeCells count="1">
    <mergeCell ref="A25:I25"/>
  </mergeCells>
  <conditionalFormatting sqref="H6:H22">
    <cfRule type="dataBar" priority="1">
      <dataBar>
        <cfvo type="num" val="0"/>
        <cfvo type="max"/>
        <color rgb="00177A5E"/>
      </dataBar>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5.xml><?xml version="1.0" encoding="utf-8"?>
<worksheet xmlns="http://schemas.openxmlformats.org/spreadsheetml/2006/main">
  <sheetPr>
    <tabColor rgb="000B5E52"/>
    <outlinePr summaryBelow="1" summaryRight="1"/>
    <pageSetUpPr fitToPage="1"/>
  </sheetPr>
  <dimension ref="A1:J14"/>
  <sheetViews>
    <sheetView showGridLines="0" workbookViewId="0">
      <pane ySplit="5" topLeftCell="A6" activePane="bottomLeft" state="frozen"/>
      <selection pane="bottomLeft" activeCell="A1" sqref="A1"/>
    </sheetView>
  </sheetViews>
  <sheetFormatPr baseColWidth="8" defaultRowHeight="15"/>
  <cols>
    <col width="30" customWidth="1" min="1" max="1"/>
    <col width="11" customWidth="1" min="2" max="2"/>
    <col width="13" customWidth="1" min="3" max="3"/>
    <col width="13" customWidth="1" min="4" max="4"/>
    <col width="14" customWidth="1" min="5" max="5"/>
    <col width="11" customWidth="1" min="6" max="6"/>
    <col width="14" customWidth="1" min="7" max="7"/>
    <col width="12" customWidth="1" min="8" max="8"/>
    <col width="8" customWidth="1" min="9" max="9"/>
    <col width="40" customWidth="1" min="10" max="10"/>
  </cols>
  <sheetData>
    <row r="1">
      <c r="A1" s="16" t="inlineStr">
        <is>
          <t>‹ Contents</t>
        </is>
      </c>
    </row>
    <row r="2" ht="26" customHeight="1">
      <c r="A2" s="1" t="inlineStr">
        <is>
          <t>Tokens and cost — by project</t>
        </is>
      </c>
    </row>
    <row r="3">
      <c r="A3" s="2" t="inlineStr">
        <is>
          <t>Every request charged to the project that raised it.</t>
        </is>
      </c>
    </row>
    <row r="5" ht="32" customHeight="1">
      <c r="A5" s="31" t="inlineStr">
        <is>
          <t>Project</t>
        </is>
      </c>
      <c r="B5" s="31" t="inlineStr">
        <is>
          <t>Requests</t>
        </is>
      </c>
      <c r="C5" s="31" t="inlineStr">
        <is>
          <t>Tokens in</t>
        </is>
      </c>
      <c r="D5" s="31" t="inlineStr">
        <is>
          <t>Tokens out</t>
        </is>
      </c>
      <c r="E5" s="31" t="inlineStr">
        <is>
          <t>Total tokens</t>
        </is>
      </c>
      <c r="F5" s="31" t="inlineStr">
        <is>
          <t>Cost</t>
        </is>
      </c>
      <c r="G5" s="31" t="inlineStr">
        <is>
          <t>Cost / request</t>
        </is>
      </c>
      <c r="H5" s="31" t="inlineStr">
        <is>
          <t>% of cost</t>
        </is>
      </c>
      <c r="I5" s="31" t="inlineStr">
        <is>
          <t>Errors</t>
        </is>
      </c>
      <c r="J5" s="31" t="inlineStr">
        <is>
          <t>Note</t>
        </is>
      </c>
    </row>
    <row r="6" ht="21" customHeight="1">
      <c r="A6" s="33" t="inlineStr">
        <is>
          <t>DV Quaters</t>
        </is>
      </c>
      <c r="B6" s="35" t="n">
        <v>22</v>
      </c>
      <c r="C6" s="35" t="n">
        <v>5500</v>
      </c>
      <c r="D6" s="35" t="n">
        <v>1320</v>
      </c>
      <c r="E6" s="35" t="n">
        <v>6820</v>
      </c>
      <c r="F6" s="72" t="n">
        <v>0.88</v>
      </c>
      <c r="G6" s="73" t="n">
        <v>0.04</v>
      </c>
      <c r="H6" s="74" t="n">
        <v>0.2619047619047619</v>
      </c>
      <c r="I6" s="35" t="n">
        <v>0</v>
      </c>
      <c r="J6" s="34" t="inlineStr"/>
    </row>
    <row r="7" ht="21" customHeight="1">
      <c r="A7" s="43" t="inlineStr">
        <is>
          <t>DV Quaters Demo</t>
        </is>
      </c>
      <c r="B7" s="45" t="n">
        <v>20</v>
      </c>
      <c r="C7" s="45" t="n">
        <v>5000</v>
      </c>
      <c r="D7" s="45" t="n">
        <v>1200</v>
      </c>
      <c r="E7" s="45" t="n">
        <v>6200</v>
      </c>
      <c r="F7" s="75" t="n">
        <v>0.8</v>
      </c>
      <c r="G7" s="76" t="n">
        <v>0.04</v>
      </c>
      <c r="H7" s="77" t="n">
        <v>0.2380952380952381</v>
      </c>
      <c r="I7" s="45" t="n">
        <v>0</v>
      </c>
      <c r="J7" s="44" t="inlineStr"/>
    </row>
    <row r="8" ht="21" customHeight="1">
      <c r="A8" s="33" t="inlineStr">
        <is>
          <t>venkat1</t>
        </is>
      </c>
      <c r="B8" s="35" t="n">
        <v>18</v>
      </c>
      <c r="C8" s="35" t="n">
        <v>4500</v>
      </c>
      <c r="D8" s="35" t="n">
        <v>1080</v>
      </c>
      <c r="E8" s="35" t="n">
        <v>5580</v>
      </c>
      <c r="F8" s="72" t="n">
        <v>0.72</v>
      </c>
      <c r="G8" s="73" t="n">
        <v>0.04</v>
      </c>
      <c r="H8" s="74" t="n">
        <v>0.2142857142857143</v>
      </c>
      <c r="I8" s="35" t="n">
        <v>0</v>
      </c>
      <c r="J8" s="34" t="inlineStr"/>
    </row>
    <row r="9" ht="21" customHeight="1">
      <c r="A9" s="78" t="inlineStr">
        <is>
          <t>Sowbelly Gulch Project</t>
        </is>
      </c>
      <c r="B9" s="79" t="n">
        <v>18</v>
      </c>
      <c r="C9" s="79" t="n">
        <v>3500</v>
      </c>
      <c r="D9" s="79" t="n">
        <v>840</v>
      </c>
      <c r="E9" s="79" t="n">
        <v>4340</v>
      </c>
      <c r="F9" s="80" t="n">
        <v>0.5600000000000001</v>
      </c>
      <c r="G9" s="81" t="n">
        <v>0.03111111111111111</v>
      </c>
      <c r="H9" s="82" t="n">
        <v>0.1666666666666667</v>
      </c>
      <c r="I9" s="79" t="n">
        <v>2</v>
      </c>
      <c r="J9" s="83" t="inlineStr">
        <is>
          <t>Both system errors here — and it carries the real drawings.</t>
        </is>
      </c>
    </row>
    <row r="10" ht="21" customHeight="1">
      <c r="A10" s="33" t="inlineStr">
        <is>
          <t>venkat02</t>
        </is>
      </c>
      <c r="B10" s="35" t="n">
        <v>8</v>
      </c>
      <c r="C10" s="35" t="n">
        <v>2000</v>
      </c>
      <c r="D10" s="35" t="n">
        <v>480</v>
      </c>
      <c r="E10" s="35" t="n">
        <v>2480</v>
      </c>
      <c r="F10" s="72" t="n">
        <v>0.32</v>
      </c>
      <c r="G10" s="73" t="n">
        <v>0.04</v>
      </c>
      <c r="H10" s="74" t="n">
        <v>0.09523809523809525</v>
      </c>
      <c r="I10" s="35" t="n">
        <v>0</v>
      </c>
      <c r="J10" s="34" t="inlineStr"/>
    </row>
    <row r="11" ht="21" customHeight="1">
      <c r="A11" s="43" t="inlineStr">
        <is>
          <t>Shruthi2</t>
        </is>
      </c>
      <c r="B11" s="45" t="n">
        <v>2</v>
      </c>
      <c r="C11" s="45" t="n">
        <v>500</v>
      </c>
      <c r="D11" s="45" t="n">
        <v>120</v>
      </c>
      <c r="E11" s="45" t="n">
        <v>620</v>
      </c>
      <c r="F11" s="75" t="n">
        <v>0.08</v>
      </c>
      <c r="G11" s="76" t="n">
        <v>0.04</v>
      </c>
      <c r="H11" s="77" t="n">
        <v>0.02380952380952381</v>
      </c>
      <c r="I11" s="45" t="n">
        <v>0</v>
      </c>
      <c r="J11" s="44" t="inlineStr"/>
    </row>
    <row r="12">
      <c r="A12" s="66" t="inlineStr">
        <is>
          <t>TOTAL</t>
        </is>
      </c>
      <c r="B12" s="67" t="n">
        <v>88</v>
      </c>
      <c r="C12" s="67" t="n">
        <v>21000</v>
      </c>
      <c r="D12" s="67" t="n">
        <v>5040</v>
      </c>
      <c r="E12" s="67" t="n">
        <v>26040</v>
      </c>
      <c r="F12" s="68" t="n">
        <v>3.36</v>
      </c>
      <c r="G12" s="69" t="n">
        <v>0.03818181818181818</v>
      </c>
      <c r="H12" s="70" t="n">
        <v>1</v>
      </c>
      <c r="I12" s="67" t="n">
        <v>2</v>
      </c>
      <c r="J12" s="65" t="n"/>
    </row>
    <row r="14" ht="30" customHeight="1">
      <c r="A14" s="71" t="inlineStr">
        <is>
          <t>Four of the six are test or demo projects. Cost per request is almost identical across all six — another way of seeing that usage is recorded as a fixed number rather than measured.</t>
        </is>
      </c>
    </row>
  </sheetData>
  <mergeCells count="1">
    <mergeCell ref="A14:G14"/>
  </mergeCells>
  <conditionalFormatting sqref="F6:F11">
    <cfRule type="dataBar" priority="1">
      <dataBar>
        <cfvo type="num" val="0"/>
        <cfvo type="max"/>
        <color rgb="000B5E52"/>
      </dataBar>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6.xml><?xml version="1.0" encoding="utf-8"?>
<worksheet xmlns="http://schemas.openxmlformats.org/spreadsheetml/2006/main">
  <sheetPr>
    <tabColor rgb="000B5E52"/>
    <outlinePr summaryBelow="1" summaryRight="1"/>
    <pageSetUpPr fitToPage="1"/>
  </sheetPr>
  <dimension ref="A1:E25"/>
  <sheetViews>
    <sheetView showGridLines="0" workbookViewId="0">
      <pane ySplit="7" topLeftCell="A8" activePane="bottomLeft" state="frozen"/>
      <selection pane="bottomLeft" activeCell="A1" sqref="A1"/>
    </sheetView>
  </sheetViews>
  <sheetFormatPr baseColWidth="8" defaultRowHeight="15"/>
  <cols>
    <col width="30" customWidth="1" min="1" max="1"/>
    <col width="14" customWidth="1" min="2" max="2"/>
    <col width="12" customWidth="1" min="3" max="3"/>
    <col width="13" customWidth="1" min="4" max="4"/>
    <col width="46" customWidth="1" min="5" max="5"/>
  </cols>
  <sheetData>
    <row r="1">
      <c r="A1" s="16" t="inlineStr">
        <is>
          <t>‹ Contents</t>
        </is>
      </c>
    </row>
    <row r="2" ht="26" customHeight="1">
      <c r="A2" s="1" t="inlineStr">
        <is>
          <t>Where work is stuck</t>
        </is>
      </c>
    </row>
    <row r="3">
      <c r="A3" s="2" t="inlineStr">
        <is>
          <t>The system proposes. A person must approve before anything joins the bid.</t>
        </is>
      </c>
    </row>
    <row r="5" ht="42" customHeight="1">
      <c r="A5" s="84" t="n">
        <v>1367</v>
      </c>
      <c r="B5" s="85" t="inlineStr">
        <is>
          <t>items waiting for a person to approve. 8 approved. None rejected.</t>
        </is>
      </c>
    </row>
    <row r="7" ht="32" customHeight="1">
      <c r="A7" s="31" t="inlineStr">
        <is>
          <t>What is waiting</t>
        </is>
      </c>
      <c r="B7" s="31" t="inlineStr">
        <is>
          <t>Waiting</t>
        </is>
      </c>
      <c r="C7" s="31" t="inlineStr">
        <is>
          <t>Approved</t>
        </is>
      </c>
      <c r="D7" s="31" t="inlineStr">
        <is>
          <t>Approved %</t>
        </is>
      </c>
      <c r="E7" s="31" t="inlineStr">
        <is>
          <t>Note</t>
        </is>
      </c>
    </row>
    <row r="8" ht="21" customHeight="1">
      <c r="A8" s="33" t="inlineStr">
        <is>
          <t>Bill of quantity lines</t>
        </is>
      </c>
      <c r="B8" s="35" t="n">
        <v>796</v>
      </c>
      <c r="C8" s="35" t="n">
        <v>1</v>
      </c>
      <c r="D8" s="74" t="n">
        <v>0.001256281407035176</v>
      </c>
      <c r="E8" s="34" t="inlineStr">
        <is>
          <t>Biggest queue in the system.</t>
        </is>
      </c>
    </row>
    <row r="9" ht="21" customHeight="1">
      <c r="A9" s="38" t="inlineStr">
        <is>
          <t>Priced lines</t>
        </is>
      </c>
      <c r="B9" s="40" t="n">
        <v>254</v>
      </c>
      <c r="C9" s="40" t="n">
        <v>0</v>
      </c>
      <c r="D9" s="86" t="n">
        <v>0</v>
      </c>
      <c r="E9" s="39" t="inlineStr">
        <is>
          <t>Nothing decided either way.</t>
        </is>
      </c>
    </row>
    <row r="10" ht="21" customHeight="1">
      <c r="A10" s="38" t="inlineStr">
        <is>
          <t>Drawing measurements</t>
        </is>
      </c>
      <c r="B10" s="40" t="n">
        <v>76</v>
      </c>
      <c r="C10" s="40" t="n">
        <v>0</v>
      </c>
      <c r="D10" s="86" t="n">
        <v>0</v>
      </c>
      <c r="E10" s="39" t="inlineStr">
        <is>
          <t>Nothing decided either way.</t>
        </is>
      </c>
    </row>
    <row r="11" ht="21" customHeight="1">
      <c r="A11" s="38" t="inlineStr">
        <is>
          <t>Specification clauses</t>
        </is>
      </c>
      <c r="B11" s="40" t="n">
        <v>65</v>
      </c>
      <c r="C11" s="40" t="n">
        <v>0</v>
      </c>
      <c r="D11" s="86" t="n">
        <v>0</v>
      </c>
      <c r="E11" s="39" t="inlineStr">
        <is>
          <t>Nothing decided either way.</t>
        </is>
      </c>
    </row>
    <row r="12" ht="21" customHeight="1">
      <c r="A12" s="38" t="inlineStr">
        <is>
          <t>Programme activities</t>
        </is>
      </c>
      <c r="B12" s="40" t="n">
        <v>63</v>
      </c>
      <c r="C12" s="40" t="n">
        <v>0</v>
      </c>
      <c r="D12" s="86" t="n">
        <v>0</v>
      </c>
      <c r="E12" s="39" t="inlineStr">
        <is>
          <t>Nothing decided either way.</t>
        </is>
      </c>
    </row>
    <row r="13" ht="21" customHeight="1">
      <c r="A13" s="38" t="inlineStr">
        <is>
          <t>Risks</t>
        </is>
      </c>
      <c r="B13" s="40" t="n">
        <v>44</v>
      </c>
      <c r="C13" s="40" t="n">
        <v>0</v>
      </c>
      <c r="D13" s="86" t="n">
        <v>0</v>
      </c>
      <c r="E13" s="39" t="inlineStr">
        <is>
          <t>Nothing decided either way.</t>
        </is>
      </c>
    </row>
    <row r="14" ht="21" customHeight="1">
      <c r="A14" s="33" t="inlineStr">
        <is>
          <t>Procurement packages</t>
        </is>
      </c>
      <c r="B14" s="35" t="n">
        <v>18</v>
      </c>
      <c r="C14" s="35" t="n">
        <v>1</v>
      </c>
      <c r="D14" s="74" t="n">
        <v>0.05555555555555555</v>
      </c>
      <c r="E14" s="34" t="inlineStr"/>
    </row>
    <row r="15" ht="21" customHeight="1">
      <c r="A15" s="38" t="inlineStr">
        <is>
          <t>Compliance items</t>
        </is>
      </c>
      <c r="B15" s="40" t="n">
        <v>12</v>
      </c>
      <c r="C15" s="40" t="n">
        <v>0</v>
      </c>
      <c r="D15" s="86" t="n">
        <v>0</v>
      </c>
      <c r="E15" s="39" t="inlineStr">
        <is>
          <t>Nothing decided either way.</t>
        </is>
      </c>
    </row>
    <row r="16" ht="21" customHeight="1">
      <c r="A16" s="38" t="inlineStr">
        <is>
          <t>Tender summaries</t>
        </is>
      </c>
      <c r="B16" s="40" t="n">
        <v>11</v>
      </c>
      <c r="C16" s="40" t="n">
        <v>0</v>
      </c>
      <c r="D16" s="86" t="n">
        <v>0</v>
      </c>
      <c r="E16" s="39" t="inlineStr">
        <is>
          <t>Nothing decided either way.</t>
        </is>
      </c>
    </row>
    <row r="17" ht="21" customHeight="1">
      <c r="A17" s="38" t="inlineStr">
        <is>
          <t>Drawing indexes</t>
        </is>
      </c>
      <c r="B17" s="40" t="n">
        <v>10</v>
      </c>
      <c r="C17" s="40" t="n">
        <v>0</v>
      </c>
      <c r="D17" s="86" t="n">
        <v>0</v>
      </c>
      <c r="E17" s="39" t="inlineStr">
        <is>
          <t>Nothing decided either way.</t>
        </is>
      </c>
    </row>
    <row r="18" ht="21" customHeight="1">
      <c r="A18" s="33" t="inlineStr">
        <is>
          <t>Proposal documents</t>
        </is>
      </c>
      <c r="B18" s="35" t="n">
        <v>6</v>
      </c>
      <c r="C18" s="35" t="n">
        <v>3</v>
      </c>
      <c r="D18" s="74" t="n">
        <v>0.5</v>
      </c>
      <c r="E18" s="34" t="inlineStr">
        <is>
          <t>Being worked.</t>
        </is>
      </c>
    </row>
    <row r="19" ht="21" customHeight="1">
      <c r="A19" s="33" t="inlineStr">
        <is>
          <t>Bid approvals</t>
        </is>
      </c>
      <c r="B19" s="35" t="n">
        <v>6</v>
      </c>
      <c r="C19" s="35" t="n">
        <v>3</v>
      </c>
      <c r="D19" s="74" t="n">
        <v>0.5</v>
      </c>
      <c r="E19" s="34" t="inlineStr">
        <is>
          <t>Being worked.</t>
        </is>
      </c>
    </row>
    <row r="20" ht="21" customHeight="1">
      <c r="A20" s="38" t="inlineStr">
        <is>
          <t>Bid decisions</t>
        </is>
      </c>
      <c r="B20" s="40" t="n">
        <v>3</v>
      </c>
      <c r="C20" s="40" t="n">
        <v>0</v>
      </c>
      <c r="D20" s="86" t="n">
        <v>0</v>
      </c>
      <c r="E20" s="39" t="inlineStr">
        <is>
          <t>Nothing decided either way.</t>
        </is>
      </c>
    </row>
    <row r="21" ht="21" customHeight="1">
      <c r="A21" s="38" t="inlineStr">
        <is>
          <t>Client queries</t>
        </is>
      </c>
      <c r="B21" s="40" t="n">
        <v>3</v>
      </c>
      <c r="C21" s="40" t="n">
        <v>0</v>
      </c>
      <c r="D21" s="86" t="n">
        <v>0</v>
      </c>
      <c r="E21" s="39" t="inlineStr">
        <is>
          <t>Nothing decided either way.</t>
        </is>
      </c>
    </row>
    <row r="22">
      <c r="A22" s="66" t="inlineStr">
        <is>
          <t>TOTAL</t>
        </is>
      </c>
      <c r="B22" s="67" t="n">
        <v>1367</v>
      </c>
      <c r="C22" s="67" t="n">
        <v>8</v>
      </c>
      <c r="D22" s="87" t="n">
        <v>0.005852231163130944</v>
      </c>
      <c r="E22" s="65" t="n"/>
    </row>
    <row r="24">
      <c r="A24" s="9" t="inlineStr">
        <is>
          <t>Why this matters more than anything else here</t>
        </is>
      </c>
    </row>
    <row r="25" ht="44" customHeight="1">
      <c r="A25" s="17" t="inlineStr">
        <is>
          <t>Everything upstream is producing work. Nothing downstream is moving. That nothing has been rejected either suggests an unworked queue rather than people refusing the output — worth confirming before it is read as a quality signal.</t>
        </is>
      </c>
    </row>
  </sheetData>
  <mergeCells count="2">
    <mergeCell ref="A25:E25"/>
    <mergeCell ref="B5:E5"/>
  </mergeCells>
  <conditionalFormatting sqref="B8:B21">
    <cfRule type="dataBar" priority="1">
      <dataBar>
        <cfvo type="num" val="0"/>
        <cfvo type="max"/>
        <color rgb="00A32A20"/>
      </dataBar>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7.xml><?xml version="1.0" encoding="utf-8"?>
<worksheet xmlns="http://schemas.openxmlformats.org/spreadsheetml/2006/main">
  <sheetPr>
    <tabColor rgb="000B5E52"/>
    <outlinePr summaryBelow="1" summaryRight="1"/>
    <pageSetUpPr fitToPage="1"/>
  </sheetPr>
  <dimension ref="A1:E16"/>
  <sheetViews>
    <sheetView showGridLines="0" workbookViewId="0">
      <selection activeCell="A1" sqref="A1"/>
    </sheetView>
  </sheetViews>
  <sheetFormatPr baseColWidth="8" defaultRowHeight="15"/>
  <cols>
    <col width="36" customWidth="1" min="1" max="1"/>
    <col width="16" customWidth="1" min="2" max="2"/>
    <col width="8" customWidth="1" min="3" max="3"/>
    <col width="16" customWidth="1" min="4" max="4"/>
    <col width="52" customWidth="1" min="5" max="5"/>
  </cols>
  <sheetData>
    <row r="1">
      <c r="A1" s="16" t="inlineStr">
        <is>
          <t>‹ Contents</t>
        </is>
      </c>
    </row>
    <row r="2" ht="26" customHeight="1">
      <c r="A2" s="1" t="inlineStr">
        <is>
          <t>What this scales to</t>
        </is>
      </c>
    </row>
    <row r="3">
      <c r="A3" s="2" t="inlineStr">
        <is>
          <t>Straight arithmetic. Change the cream cells and the rest follows.</t>
        </is>
      </c>
    </row>
    <row r="5">
      <c r="A5" s="9" t="inlineStr">
        <is>
          <t>Assumptions — edit these</t>
        </is>
      </c>
    </row>
    <row r="6" ht="22" customHeight="1">
      <c r="A6" s="88" t="inlineStr">
        <is>
          <t>Cost per project, as measured</t>
        </is>
      </c>
      <c r="B6" s="89" t="n">
        <v>0.5599999999999999</v>
      </c>
    </row>
    <row r="7" ht="22" customHeight="1">
      <c r="A7" s="88" t="inlineStr">
        <is>
          <t>Projects per year</t>
        </is>
      </c>
      <c r="B7" s="90" t="n">
        <v>40</v>
      </c>
    </row>
    <row r="8" ht="22" customHeight="1">
      <c r="A8" s="88" t="inlineStr">
        <is>
          <t>Uplift once usage is measured</t>
        </is>
      </c>
      <c r="B8" s="90" t="n">
        <v>10</v>
      </c>
      <c r="C8" s="11" t="inlineStr">
        <is>
          <t>x</t>
        </is>
      </c>
    </row>
    <row r="10">
      <c r="A10" s="9" t="inlineStr">
        <is>
          <t>Result</t>
        </is>
      </c>
    </row>
    <row r="11" ht="32" customHeight="1">
      <c r="A11" s="31" t="inlineStr">
        <is>
          <t>Scenario</t>
        </is>
      </c>
      <c r="B11" s="31" t="inlineStr">
        <is>
          <t>Per project</t>
        </is>
      </c>
      <c r="C11" s="31" t="inlineStr"/>
      <c r="D11" s="31" t="inlineStr">
        <is>
          <t>Per year</t>
        </is>
      </c>
      <c r="E11" s="31" t="inlineStr">
        <is>
          <t>What it assumes</t>
        </is>
      </c>
    </row>
    <row r="12" ht="32" customHeight="1">
      <c r="A12" s="91" t="inlineStr">
        <is>
          <t>As measured today</t>
        </is>
      </c>
      <c r="B12" s="50">
        <f>B6</f>
        <v/>
      </c>
      <c r="C12" s="92" t="n"/>
      <c r="D12" s="50">
        <f>B6*B7</f>
        <v/>
      </c>
      <c r="E12" s="20" t="inlineStr">
        <is>
          <t>The placeholder usage figure, unchanged.</t>
        </is>
      </c>
    </row>
    <row r="13" ht="32" customHeight="1">
      <c r="A13" s="91" t="inlineStr">
        <is>
          <t>With usage measured properly</t>
        </is>
      </c>
      <c r="B13" s="50">
        <f>B6*B8</f>
        <v/>
      </c>
      <c r="C13" s="92" t="n"/>
      <c r="D13" s="50">
        <f>B6*B8*B7</f>
        <v/>
      </c>
      <c r="E13" s="20" t="inlineStr">
        <is>
          <t>Assumes real documents use the uplift above. A guess until the counter is fixed.</t>
        </is>
      </c>
    </row>
    <row r="14" ht="32" customHeight="1">
      <c r="A14" s="91" t="inlineStr">
        <is>
          <t>If blocked requests also ran</t>
        </is>
      </c>
      <c r="B14" s="50">
        <f>B6*B8*2</f>
        <v/>
      </c>
      <c r="C14" s="92" t="n"/>
      <c r="D14" s="50">
        <f>B6*B8*2*B7</f>
        <v/>
      </c>
      <c r="E14" s="20" t="inlineStr">
        <is>
          <t>Half of all requests are currently refused and cost nothing.</t>
        </is>
      </c>
    </row>
    <row r="16" ht="32" customHeight="1">
      <c r="A16" s="71" t="inlineStr">
        <is>
          <t>Rows two and three are scenarios, not forecasts. Until the usage counter records what a request actually consumed, nobody can put a defensible number on what a real bid costs to run.</t>
        </is>
      </c>
    </row>
  </sheetData>
  <mergeCells count="1">
    <mergeCell ref="A16:E16"/>
  </mergeCells>
  <hyperlinks>
    <hyperlink xmlns:r="http://schemas.openxmlformats.org/officeDocument/2006/relationships" ref="A1" r:id="rId1"/>
  </hyperlinks>
  <pageMargins left="0.75" right="0.75" top="1" bottom="1" header="0.5" footer="0.5"/>
  <pageSetup orientation="landscape" fitToWidth="1"/>
</worksheet>
</file>

<file path=xl/worksheets/sheet8.xml><?xml version="1.0" encoding="utf-8"?>
<worksheet xmlns="http://schemas.openxmlformats.org/spreadsheetml/2006/main">
  <sheetPr>
    <tabColor rgb="000B5E52"/>
    <outlinePr summaryBelow="1" summaryRight="1"/>
    <pageSetUpPr fitToPage="1"/>
  </sheetPr>
  <dimension ref="A1:H12"/>
  <sheetViews>
    <sheetView showGridLines="0" workbookViewId="0">
      <pane ySplit="5" topLeftCell="A6" activePane="bottomLeft" state="frozen"/>
      <selection pane="bottomLeft" activeCell="A1" sqref="A1"/>
    </sheetView>
  </sheetViews>
  <sheetFormatPr baseColWidth="8" defaultRowHeight="15"/>
  <cols>
    <col width="5" customWidth="1" min="1" max="1"/>
    <col width="40" customWidth="1" min="2" max="2"/>
    <col width="60" customWidth="1" min="3" max="3"/>
    <col width="11" customWidth="1" min="4" max="4"/>
    <col width="48" customWidth="1" min="5" max="5"/>
    <col width="16" customWidth="1" min="6" max="6"/>
    <col width="14" customWidth="1" min="7" max="7"/>
    <col width="20" customWidth="1" min="8" max="8"/>
  </cols>
  <sheetData>
    <row r="1">
      <c r="A1" s="16" t="inlineStr">
        <is>
          <t>‹ Contents</t>
        </is>
      </c>
    </row>
    <row r="2" ht="26" customHeight="1">
      <c r="A2" s="1" t="inlineStr">
        <is>
          <t>Issues, in priority order</t>
        </is>
      </c>
    </row>
    <row r="3">
      <c r="A3" s="2" t="inlineStr">
        <is>
          <t>Owner and date are yours to fill in.</t>
        </is>
      </c>
    </row>
    <row r="5" ht="32" customHeight="1">
      <c r="A5" s="31" t="inlineStr">
        <is>
          <t>#</t>
        </is>
      </c>
      <c r="B5" s="31" t="inlineStr">
        <is>
          <t>Issue</t>
        </is>
      </c>
      <c r="C5" s="31" t="inlineStr">
        <is>
          <t>What it means</t>
        </is>
      </c>
      <c r="D5" s="31" t="inlineStr">
        <is>
          <t>Priority</t>
        </is>
      </c>
      <c r="E5" s="31" t="inlineStr">
        <is>
          <t>Suggested next step</t>
        </is>
      </c>
      <c r="F5" s="31" t="inlineStr">
        <is>
          <t>Owner</t>
        </is>
      </c>
      <c r="G5" s="31" t="inlineStr">
        <is>
          <t>By when</t>
        </is>
      </c>
      <c r="H5" s="31" t="inlineStr">
        <is>
          <t>Status</t>
        </is>
      </c>
    </row>
    <row r="6" ht="54" customHeight="1">
      <c r="A6" s="93" t="inlineStr">
        <is>
          <t>1</t>
        </is>
      </c>
      <c r="B6" s="94" t="inlineStr">
        <is>
          <t>Nobody is approving what the system produces</t>
        </is>
      </c>
      <c r="C6" s="95" t="inlineStr">
        <is>
          <t>1,367 items waiting, 8 approved, none rejected. Until that queue is worked, nothing the platform produces turns into a bid.</t>
        </is>
      </c>
      <c r="D6" s="96" t="inlineStr">
        <is>
          <t>High</t>
        </is>
      </c>
      <c r="E6" s="97" t="inlineStr">
        <is>
          <t>Find out whether this is staffing, training, or a screen people cannot find.</t>
        </is>
      </c>
      <c r="F6" s="98" t="n"/>
      <c r="G6" s="99" t="n"/>
      <c r="H6" s="99" t="inlineStr">
        <is>
          <t>Not started</t>
        </is>
      </c>
    </row>
    <row r="7" ht="54" customHeight="1">
      <c r="A7" s="93" t="inlineStr">
        <is>
          <t>2</t>
        </is>
      </c>
      <c r="B7" s="94" t="inlineStr">
        <is>
          <t>Half the AI requests are blocked by our own privacy rule</t>
        </is>
      </c>
      <c r="C7" s="95" t="inlineStr">
        <is>
          <t>44 of 88 refused before reaching the AI. Anything unclassified is treated as confidential and cannot leave our servers. Correct behaviour, but it means the AI is barely exercised.</t>
        </is>
      </c>
      <c r="D7" s="96" t="inlineStr">
        <is>
          <t>High</t>
        </is>
      </c>
      <c r="E7" s="97" t="inlineStr">
        <is>
          <t>Decide the data-classification policy for ordinary tender documents.</t>
        </is>
      </c>
      <c r="F7" s="98" t="n"/>
      <c r="G7" s="99" t="n"/>
      <c r="H7" s="99" t="inlineStr">
        <is>
          <t>Not started</t>
        </is>
      </c>
    </row>
    <row r="8" ht="54" customHeight="1">
      <c r="A8" s="93" t="inlineStr">
        <is>
          <t>3</t>
        </is>
      </c>
      <c r="B8" s="94" t="inlineStr">
        <is>
          <t>The cost and usage figures are not real</t>
        </is>
      </c>
      <c r="C8" s="95" t="inlineStr">
        <is>
          <t>Every request records the same fixed usage regardless of the document. The cost total is arithmetic on that constant.</t>
        </is>
      </c>
      <c r="D8" s="96" t="inlineStr">
        <is>
          <t>High</t>
        </is>
      </c>
      <c r="E8" s="97" t="inlineStr">
        <is>
          <t>Do not budget from these figures. The engineering fix is one line per call site.</t>
        </is>
      </c>
      <c r="F8" s="98" t="n"/>
      <c r="G8" s="99" t="n"/>
      <c r="H8" s="99" t="inlineStr">
        <is>
          <t>Not started</t>
        </is>
      </c>
    </row>
    <row r="9" ht="54" customHeight="1">
      <c r="A9" s="93" t="inlineStr">
        <is>
          <t>4</t>
        </is>
      </c>
      <c r="B9" s="94" t="inlineStr">
        <is>
          <t>Three stages never ran at all</t>
        </is>
      </c>
      <c r="C9" s="95" t="inlineStr">
        <is>
          <t>Drawing take-off, drawing indexing and the technical narrative record zero activity on every attempt. Drawing measurements cannot be produced right now.</t>
        </is>
      </c>
      <c r="D9" s="96" t="inlineStr">
        <is>
          <t>High</t>
        </is>
      </c>
      <c r="E9" s="97" t="inlineStr">
        <is>
          <t>Confirm whether these are switched off or failing silently.</t>
        </is>
      </c>
      <c r="F9" s="98" t="n"/>
      <c r="G9" s="99" t="n"/>
      <c r="H9" s="99" t="inlineStr">
        <is>
          <t>Not started</t>
        </is>
      </c>
    </row>
    <row r="10" ht="54" customHeight="1">
      <c r="A10" s="93" t="inlineStr">
        <is>
          <t>5</t>
        </is>
      </c>
      <c r="B10" s="94" t="inlineStr">
        <is>
          <t>Some jobs sit in a queue for hours</t>
        </is>
      </c>
      <c r="C10" s="95" t="inlineStr">
        <is>
          <t>Programme jobs wait 37 hours on average before starting, procurement 26. The work itself takes seconds.</t>
        </is>
      </c>
      <c r="D10" s="100" t="inlineStr">
        <is>
          <t>Medium</t>
        </is>
      </c>
      <c r="E10" s="97" t="inlineStr">
        <is>
          <t>Check whether the queue worker is keeping up or stalling.</t>
        </is>
      </c>
      <c r="F10" s="98" t="n"/>
      <c r="G10" s="99" t="n"/>
      <c r="H10" s="99" t="inlineStr">
        <is>
          <t>Not started</t>
        </is>
      </c>
    </row>
    <row r="11" ht="54" customHeight="1">
      <c r="A11" s="93" t="inlineStr">
        <is>
          <t>6</t>
        </is>
      </c>
      <c r="B11" s="94" t="inlineStr">
        <is>
          <t>Repeat work is not being reused</t>
        </is>
      </c>
      <c r="C11" s="95" t="inlineStr">
        <is>
          <t>The reuse feature is switched off, so every request starts from scratch.</t>
        </is>
      </c>
      <c r="D11" s="100" t="inlineStr">
        <is>
          <t>Medium</t>
        </is>
      </c>
      <c r="E11" s="97" t="inlineStr">
        <is>
          <t>Turn on the response cache. Known outstanding item.</t>
        </is>
      </c>
      <c r="F11" s="98" t="n"/>
      <c r="G11" s="99" t="n"/>
      <c r="H11" s="99" t="inlineStr">
        <is>
          <t>Not started</t>
        </is>
      </c>
    </row>
    <row r="12" ht="54" customHeight="1">
      <c r="A12" s="93" t="inlineStr">
        <is>
          <t>7</t>
        </is>
      </c>
      <c r="B12" s="94" t="inlineStr">
        <is>
          <t>Three measurements are not being recorded</t>
        </is>
      </c>
      <c r="C12" s="95" t="inlineStr">
        <is>
          <t>How long each AI step took, how confident it was, and whether its output validated are all missing.</t>
        </is>
      </c>
      <c r="D12" s="101" t="inlineStr">
        <is>
          <t>Low</t>
        </is>
      </c>
      <c r="E12" s="97" t="inlineStr">
        <is>
          <t>Small change — the fields exist, they are simply not written.</t>
        </is>
      </c>
      <c r="F12" s="98" t="n"/>
      <c r="G12" s="99" t="n"/>
      <c r="H12" s="99" t="inlineStr">
        <is>
          <t>Not started</t>
        </is>
      </c>
    </row>
  </sheetData>
  <conditionalFormatting sqref="H6:H1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6:H56" showDropDown="0" showInputMessage="0" showErrorMessage="0" allowBlank="1" error="Pick one of: Not started, Pass, Fail, Blocked, N/A" promptTitle="Result" prompt="Not started / Pass / Fail / Blocked / N/A" type="list">
      <formula1>"Not started,Pass,Fail,Blocked,N/A"</formula1>
    </dataValidation>
  </dataValidations>
  <hyperlinks>
    <hyperlink xmlns:r="http://schemas.openxmlformats.org/officeDocument/2006/relationships" ref="A1" r:id="rId1"/>
  </hyperlinks>
  <pageMargins left="0.75" right="0.75" top="1" bottom="1" header="0.5" footer="0.5"/>
  <pageSetup orientation="landscape" fitToWidth="1"/>
</worksheet>
</file>

<file path=xl/worksheets/sheet9.xml><?xml version="1.0" encoding="utf-8"?>
<worksheet xmlns="http://schemas.openxmlformats.org/spreadsheetml/2006/main">
  <sheetPr>
    <tabColor rgb="008A5A12"/>
    <outlinePr summaryBelow="1" summaryRight="1"/>
    <pageSetUpPr fitToPage="1"/>
  </sheetPr>
  <dimension ref="A1:I18"/>
  <sheetViews>
    <sheetView showGridLines="0" workbookViewId="0">
      <selection activeCell="A1" sqref="A1"/>
    </sheetView>
  </sheetViews>
  <sheetFormatPr baseColWidth="8" defaultRowHeight="15"/>
  <cols>
    <col width="2" customWidth="1" min="1" max="1"/>
    <col width="30" customWidth="1" min="2" max="2"/>
    <col width="12" customWidth="1" min="3" max="3"/>
    <col width="12" customWidth="1" min="4" max="4"/>
    <col width="12" customWidth="1" min="5" max="5"/>
    <col width="12" customWidth="1" min="6" max="6"/>
    <col width="13" customWidth="1" min="7" max="7"/>
    <col width="14" customWidth="1" min="8" max="8"/>
    <col width="40" customWidth="1" min="9" max="9"/>
  </cols>
  <sheetData>
    <row r="1">
      <c r="A1" s="16" t="inlineStr">
        <is>
          <t>‹ Contents</t>
        </is>
      </c>
    </row>
    <row r="2" ht="26" customHeight="1">
      <c r="A2" s="1" t="inlineStr">
        <is>
          <t>Where testing has got to</t>
        </is>
      </c>
    </row>
    <row r="3">
      <c r="A3" s="2" t="inlineStr">
        <is>
          <t>Counts itself from the five test sheets. Nothing here is typed in.</t>
        </is>
      </c>
    </row>
    <row r="5">
      <c r="B5" s="17" t="inlineStr"/>
    </row>
    <row r="6" ht="32" customHeight="1">
      <c r="B6" s="31" t="inlineStr">
        <is>
          <t>Area</t>
        </is>
      </c>
      <c r="C6" s="31" t="inlineStr">
        <is>
          <t>Tests</t>
        </is>
      </c>
      <c r="D6" s="31" t="inlineStr">
        <is>
          <t>Pass</t>
        </is>
      </c>
      <c r="E6" s="31" t="inlineStr">
        <is>
          <t>Fail</t>
        </is>
      </c>
      <c r="F6" s="31" t="inlineStr">
        <is>
          <t>Blocked</t>
        </is>
      </c>
      <c r="G6" s="31" t="inlineStr">
        <is>
          <t>Not started</t>
        </is>
      </c>
      <c r="H6" s="31" t="inlineStr">
        <is>
          <t>% done</t>
        </is>
      </c>
      <c r="I6" s="31" t="inlineStr">
        <is>
          <t>Note</t>
        </is>
      </c>
    </row>
    <row r="7" ht="24" customHeight="1">
      <c r="B7" s="48" t="inlineStr">
        <is>
          <t>Test · Functional</t>
        </is>
      </c>
      <c r="C7" s="102">
        <f>COUNTIF('Test · Functional'!$G$6:$G$200,"Pass")+COUNTIF('Test · Functional'!$G$6:$G$200,"Fail")+COUNTIF('Test · Functional'!$G$6:$G$200,"Blocked")+COUNTIF('Test · Functional'!$G$6:$G$200,"Not started")+COUNTIF('Test · Functional'!$G$6:$G$200,"N/A")</f>
        <v/>
      </c>
      <c r="D7" s="102">
        <f>COUNTIF('Test · Functional'!$G$6:$G$200,"Pass")</f>
        <v/>
      </c>
      <c r="E7" s="102">
        <f>COUNTIF('Test · Functional'!$G$6:$G$200,"Fail")</f>
        <v/>
      </c>
      <c r="F7" s="102">
        <f>COUNTIF('Test · Functional'!$G$6:$G$200,"Blocked")</f>
        <v/>
      </c>
      <c r="G7" s="102">
        <f>COUNTIF('Test · Functional'!$G$6:$G$200,"Not started")</f>
        <v/>
      </c>
      <c r="H7" s="103">
        <f>IF(C7=0,0,(D7+E7)/C7)</f>
        <v/>
      </c>
      <c r="I7" s="104" t="n"/>
    </row>
    <row r="8" ht="24" customHeight="1">
      <c r="B8" s="48" t="inlineStr">
        <is>
          <t>Test · Documents</t>
        </is>
      </c>
      <c r="C8" s="102">
        <f>COUNTIF('Test · Documents'!$L$6:$L$200,"Pass")+COUNTIF('Test · Documents'!$L$6:$L$200,"Fail")+COUNTIF('Test · Documents'!$L$6:$L$200,"Blocked")+COUNTIF('Test · Documents'!$L$6:$L$200,"Not started")+COUNTIF('Test · Documents'!$L$6:$L$200,"N/A")</f>
        <v/>
      </c>
      <c r="D8" s="102">
        <f>COUNTIF('Test · Documents'!$L$6:$L$200,"Pass")</f>
        <v/>
      </c>
      <c r="E8" s="102">
        <f>COUNTIF('Test · Documents'!$L$6:$L$200,"Fail")</f>
        <v/>
      </c>
      <c r="F8" s="102">
        <f>COUNTIF('Test · Documents'!$L$6:$L$200,"Blocked")</f>
        <v/>
      </c>
      <c r="G8" s="102">
        <f>COUNTIF('Test · Documents'!$L$6:$L$200,"Not started")</f>
        <v/>
      </c>
      <c r="H8" s="103">
        <f>IF(C8=0,0,(D8+E8)/C8)</f>
        <v/>
      </c>
      <c r="I8" s="104" t="n"/>
    </row>
    <row r="9" ht="24" customHeight="1">
      <c r="B9" s="48" t="inlineStr">
        <is>
          <t>Test · Drawings</t>
        </is>
      </c>
      <c r="C9" s="102">
        <f>COUNTIF('Test · Drawings'!$M$6:$M$200,"Pass")+COUNTIF('Test · Drawings'!$M$6:$M$200,"Fail")+COUNTIF('Test · Drawings'!$M$6:$M$200,"Blocked")+COUNTIF('Test · Drawings'!$M$6:$M$200,"Not started")+COUNTIF('Test · Drawings'!$M$6:$M$200,"N/A")</f>
        <v/>
      </c>
      <c r="D9" s="102">
        <f>COUNTIF('Test · Drawings'!$M$6:$M$200,"Pass")</f>
        <v/>
      </c>
      <c r="E9" s="102">
        <f>COUNTIF('Test · Drawings'!$M$6:$M$200,"Fail")</f>
        <v/>
      </c>
      <c r="F9" s="102">
        <f>COUNTIF('Test · Drawings'!$M$6:$M$200,"Blocked")</f>
        <v/>
      </c>
      <c r="G9" s="102">
        <f>COUNTIF('Test · Drawings'!$M$6:$M$200,"Not started")</f>
        <v/>
      </c>
      <c r="H9" s="103">
        <f>IF(C9=0,0,(D9+E9)/C9)</f>
        <v/>
      </c>
      <c r="I9" s="104" t="n"/>
    </row>
    <row r="10" ht="24" customHeight="1">
      <c r="B10" s="48" t="inlineStr">
        <is>
          <t>Test · Tokens</t>
        </is>
      </c>
      <c r="C10" s="102">
        <f>COUNTIF('Test · Tokens'!$I$6:$I$200,"Pass")+COUNTIF('Test · Tokens'!$I$6:$I$200,"Fail")+COUNTIF('Test · Tokens'!$I$6:$I$200,"Blocked")+COUNTIF('Test · Tokens'!$I$6:$I$200,"Not started")+COUNTIF('Test · Tokens'!$I$6:$I$200,"N/A")</f>
        <v/>
      </c>
      <c r="D10" s="102">
        <f>COUNTIF('Test · Tokens'!$I$6:$I$200,"Pass")</f>
        <v/>
      </c>
      <c r="E10" s="102">
        <f>COUNTIF('Test · Tokens'!$I$6:$I$200,"Fail")</f>
        <v/>
      </c>
      <c r="F10" s="102">
        <f>COUNTIF('Test · Tokens'!$I$6:$I$200,"Blocked")</f>
        <v/>
      </c>
      <c r="G10" s="102">
        <f>COUNTIF('Test · Tokens'!$I$6:$I$200,"Not started")</f>
        <v/>
      </c>
      <c r="H10" s="103">
        <f>IF(C10=0,0,(D10+E10)/C10)</f>
        <v/>
      </c>
      <c r="I10" s="104" t="n"/>
    </row>
    <row r="11" ht="24" customHeight="1">
      <c r="B11" s="48" t="inlineStr">
        <is>
          <t>Test · Accuracy</t>
        </is>
      </c>
      <c r="C11" s="102">
        <f>COUNTIF('Test · Accuracy'!$M$6:$M$200,"Pass")+COUNTIF('Test · Accuracy'!$M$6:$M$200,"Fail")+COUNTIF('Test · Accuracy'!$M$6:$M$200,"Blocked")+COUNTIF('Test · Accuracy'!$M$6:$M$200,"Not started")+COUNTIF('Test · Accuracy'!$M$6:$M$200,"N/A")</f>
        <v/>
      </c>
      <c r="D11" s="102">
        <f>COUNTIF('Test · Accuracy'!$M$6:$M$200,"Pass")</f>
        <v/>
      </c>
      <c r="E11" s="102">
        <f>COUNTIF('Test · Accuracy'!$M$6:$M$200,"Fail")</f>
        <v/>
      </c>
      <c r="F11" s="102">
        <f>COUNTIF('Test · Accuracy'!$M$6:$M$200,"Blocked")</f>
        <v/>
      </c>
      <c r="G11" s="102">
        <f>COUNTIF('Test · Accuracy'!$M$6:$M$200,"Not started")</f>
        <v/>
      </c>
      <c r="H11" s="103">
        <f>IF(C11=0,0,(D11+E11)/C11)</f>
        <v/>
      </c>
      <c r="I11" s="104" t="n"/>
    </row>
    <row r="12">
      <c r="B12" s="105" t="inlineStr">
        <is>
          <t>TOTAL</t>
        </is>
      </c>
      <c r="C12" s="65">
        <f>SUM(C7:C11)</f>
        <v/>
      </c>
      <c r="D12" s="65">
        <f>SUM(D7:D11)</f>
        <v/>
      </c>
      <c r="E12" s="65">
        <f>SUM(E7:E11)</f>
        <v/>
      </c>
      <c r="F12" s="65">
        <f>SUM(F7:F11)</f>
        <v/>
      </c>
      <c r="G12" s="65">
        <f>SUM(G7:G11)</f>
        <v/>
      </c>
      <c r="H12" s="106">
        <f>IF(C12=0,0,(D12+E12)/C12)</f>
        <v/>
      </c>
      <c r="I12" s="107" t="n"/>
    </row>
    <row r="14">
      <c r="B14" s="9" t="inlineStr">
        <is>
          <t>Sign-off</t>
        </is>
      </c>
    </row>
    <row r="15" ht="32" customHeight="1">
      <c r="B15" s="31" t="inlineStr">
        <is>
          <t>Role</t>
        </is>
      </c>
      <c r="C15" s="31" t="inlineStr">
        <is>
          <t>Name</t>
        </is>
      </c>
      <c r="D15" s="31" t="inlineStr">
        <is>
          <t>Date</t>
        </is>
      </c>
      <c r="E15" s="31" t="inlineStr">
        <is>
          <t>Decision</t>
        </is>
      </c>
    </row>
    <row r="16" ht="24" customHeight="1">
      <c r="B16" s="108" t="inlineStr">
        <is>
          <t>Test lead</t>
        </is>
      </c>
      <c r="C16" s="109" t="n"/>
      <c r="D16" s="109" t="n"/>
      <c r="E16" s="109" t="n"/>
    </row>
    <row r="17" ht="24" customHeight="1">
      <c r="B17" s="108" t="inlineStr">
        <is>
          <t>Engineering lead</t>
        </is>
      </c>
      <c r="C17" s="109" t="n"/>
      <c r="D17" s="109" t="n"/>
      <c r="E17" s="109" t="n"/>
    </row>
    <row r="18" ht="24" customHeight="1">
      <c r="B18" s="108" t="inlineStr">
        <is>
          <t>Product / manager</t>
        </is>
      </c>
      <c r="C18" s="109" t="n"/>
      <c r="D18" s="109" t="n"/>
      <c r="E18" s="109" t="n"/>
    </row>
  </sheetData>
  <conditionalFormatting sqref="D7:F12">
    <cfRule type="cellIs" priority="1" operator="equal" dxfId="0">
      <formula>"Pass"</formula>
    </cfRule>
    <cfRule type="cellIs" priority="2" operator="equal" dxfId="1">
      <formula>"Fail"</formula>
    </cfRule>
    <cfRule type="cellIs" priority="3" operator="equal" dxfId="2">
      <formula>"Blocked"</formula>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10.xml><?xml version="1.0" encoding="utf-8"?>
<worksheet xmlns="http://schemas.openxmlformats.org/spreadsheetml/2006/main">
  <sheetPr>
    <tabColor rgb="008A5A12"/>
    <outlinePr summaryBelow="1" summaryRight="1"/>
    <pageSetUpPr fitToPage="1"/>
  </sheetPr>
  <dimension ref="A1:K45"/>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28" customWidth="1" min="3" max="3"/>
    <col width="44" customWidth="1" min="4" max="4"/>
    <col width="42" customWidth="1" min="5" max="5"/>
    <col width="11" customWidth="1" min="6" max="6"/>
    <col width="12" customWidth="1" min="7" max="7"/>
    <col width="32" customWidth="1" min="8" max="8"/>
    <col width="13" customWidth="1" min="9" max="9"/>
    <col width="12" customWidth="1" min="10" max="10"/>
    <col width="24" customWidth="1" min="11" max="11"/>
  </cols>
  <sheetData>
    <row r="1">
      <c r="A1" s="16" t="inlineStr">
        <is>
          <t>‹ Contents</t>
        </is>
      </c>
    </row>
    <row r="2" ht="26" customHeight="1">
      <c r="A2" s="1" t="inlineStr">
        <is>
          <t>Functional tests</t>
        </is>
      </c>
    </row>
    <row r="3">
      <c r="A3" s="2" t="inlineStr">
        <is>
          <t>Does each feature do what it claims. Result is a dropdown.</t>
        </is>
      </c>
    </row>
    <row r="5" ht="32" customHeight="1">
      <c r="A5" s="31" t="inlineStr">
        <is>
          <t>ID</t>
        </is>
      </c>
      <c r="B5" s="31" t="inlineStr">
        <is>
          <t>Module</t>
        </is>
      </c>
      <c r="C5" s="31" t="inlineStr">
        <is>
          <t>Feature</t>
        </is>
      </c>
      <c r="D5" s="31" t="inlineStr">
        <is>
          <t>What to do</t>
        </is>
      </c>
      <c r="E5" s="31" t="inlineStr">
        <is>
          <t>What should happen</t>
        </is>
      </c>
      <c r="F5" s="31" t="inlineStr">
        <is>
          <t>Priority</t>
        </is>
      </c>
      <c r="G5" s="31" t="inlineStr">
        <is>
          <t>Result</t>
        </is>
      </c>
      <c r="H5" s="31" t="inlineStr">
        <is>
          <t>What actually happened</t>
        </is>
      </c>
      <c r="I5" s="31" t="inlineStr">
        <is>
          <t>Tester</t>
        </is>
      </c>
      <c r="J5" s="31" t="inlineStr">
        <is>
          <t>Date</t>
        </is>
      </c>
      <c r="K5" s="31" t="inlineStr">
        <is>
          <t>Notes / ticket</t>
        </is>
      </c>
    </row>
    <row r="6" ht="28" customHeight="1">
      <c r="A6" s="110" t="inlineStr">
        <is>
          <t>TEN-01</t>
        </is>
      </c>
      <c r="B6" s="111" t="inlineStr">
        <is>
          <t>TenderLogix</t>
        </is>
      </c>
      <c r="C6" s="97" t="inlineStr">
        <is>
          <t>Tender upload</t>
        </is>
      </c>
      <c r="D6" s="97" t="inlineStr">
        <is>
          <t>Upload a multi-file tender pack</t>
        </is>
      </c>
      <c r="E6" s="95" t="inlineStr">
        <is>
          <t>All files accepted, listed and queued</t>
        </is>
      </c>
      <c r="F6" s="96" t="inlineStr">
        <is>
          <t>High</t>
        </is>
      </c>
      <c r="G6" s="99" t="inlineStr">
        <is>
          <t>Not started</t>
        </is>
      </c>
      <c r="H6" s="112" t="n"/>
      <c r="I6" s="98" t="n"/>
      <c r="J6" s="99" t="n"/>
      <c r="K6" s="112" t="n"/>
    </row>
    <row r="7" ht="28" customHeight="1">
      <c r="A7" s="113" t="inlineStr">
        <is>
          <t>TEN-02</t>
        </is>
      </c>
      <c r="B7" s="114" t="inlineStr">
        <is>
          <t>TenderLogix</t>
        </is>
      </c>
      <c r="C7" s="115" t="inlineStr">
        <is>
          <t>Summary extraction</t>
        </is>
      </c>
      <c r="D7" s="115" t="inlineStr">
        <is>
          <t>Open the tender stage</t>
        </is>
      </c>
      <c r="E7" s="116" t="inlineStr">
        <is>
          <t>Client, reference, format and deadline all populated</t>
        </is>
      </c>
      <c r="F7" s="117" t="inlineStr">
        <is>
          <t>High</t>
        </is>
      </c>
      <c r="G7" s="99" t="inlineStr">
        <is>
          <t>Not started</t>
        </is>
      </c>
      <c r="H7" s="112" t="n"/>
      <c r="I7" s="98" t="n"/>
      <c r="J7" s="99" t="n"/>
      <c r="K7" s="112" t="n"/>
    </row>
    <row r="8" ht="28" customHeight="1">
      <c r="A8" s="110" t="inlineStr">
        <is>
          <t>TEN-03</t>
        </is>
      </c>
      <c r="B8" s="111" t="inlineStr">
        <is>
          <t>TenderLogix</t>
        </is>
      </c>
      <c r="C8" s="97" t="inlineStr">
        <is>
          <t>Requirements</t>
        </is>
      </c>
      <c r="D8" s="97" t="inlineStr">
        <is>
          <t>Check the requirement register</t>
        </is>
      </c>
      <c r="E8" s="95" t="inlineStr">
        <is>
          <t>Each requirement listed with its source clause</t>
        </is>
      </c>
      <c r="F8" s="96" t="inlineStr">
        <is>
          <t>High</t>
        </is>
      </c>
      <c r="G8" s="99" t="inlineStr">
        <is>
          <t>Not started</t>
        </is>
      </c>
      <c r="H8" s="112" t="n"/>
      <c r="I8" s="98" t="n"/>
      <c r="J8" s="99" t="n"/>
      <c r="K8" s="112" t="n"/>
    </row>
    <row r="9" ht="28" customHeight="1">
      <c r="A9" s="113" t="inlineStr">
        <is>
          <t>TEN-04</t>
        </is>
      </c>
      <c r="B9" s="114" t="inlineStr">
        <is>
          <t>TenderLogix</t>
        </is>
      </c>
      <c r="C9" s="115" t="inlineStr">
        <is>
          <t>Deadline override</t>
        </is>
      </c>
      <c r="D9" s="115" t="inlineStr">
        <is>
          <t>Change the deadline by hand</t>
        </is>
      </c>
      <c r="E9" s="116" t="inlineStr">
        <is>
          <t>Saved, and the change is on the audit trail</t>
        </is>
      </c>
      <c r="F9" s="118" t="inlineStr">
        <is>
          <t>Medium</t>
        </is>
      </c>
      <c r="G9" s="99" t="inlineStr">
        <is>
          <t>Not started</t>
        </is>
      </c>
      <c r="H9" s="112" t="n"/>
      <c r="I9" s="98" t="n"/>
      <c r="J9" s="99" t="n"/>
      <c r="K9" s="112" t="n"/>
    </row>
    <row r="10" ht="28" customHeight="1">
      <c r="A10" s="110" t="inlineStr">
        <is>
          <t>TEN-05</t>
        </is>
      </c>
      <c r="B10" s="111" t="inlineStr">
        <is>
          <t>TenderLogix</t>
        </is>
      </c>
      <c r="C10" s="97" t="inlineStr">
        <is>
          <t>Bid / no-bid</t>
        </is>
      </c>
      <c r="D10" s="97" t="inlineStr">
        <is>
          <t>Run bid qualification</t>
        </is>
      </c>
      <c r="E10" s="95" t="inlineStr">
        <is>
          <t>A recommendation with reasons, awaiting a decision</t>
        </is>
      </c>
      <c r="F10" s="100" t="inlineStr">
        <is>
          <t>Medium</t>
        </is>
      </c>
      <c r="G10" s="99" t="inlineStr">
        <is>
          <t>Not started</t>
        </is>
      </c>
      <c r="H10" s="112" t="n"/>
      <c r="I10" s="98" t="n"/>
      <c r="J10" s="99" t="n"/>
      <c r="K10" s="112" t="n"/>
    </row>
    <row r="11" ht="28" customHeight="1">
      <c r="A11" s="113" t="inlineStr">
        <is>
          <t>DOC-01</t>
        </is>
      </c>
      <c r="B11" s="114" t="inlineStr">
        <is>
          <t>DocLogix</t>
        </is>
      </c>
      <c r="C11" s="115" t="inlineStr">
        <is>
          <t>Register</t>
        </is>
      </c>
      <c r="D11" s="115" t="inlineStr">
        <is>
          <t>Upload 10 mixed documents</t>
        </is>
      </c>
      <c r="E11" s="116" t="inlineStr">
        <is>
          <t>All appear with type, revision and date</t>
        </is>
      </c>
      <c r="F11" s="117" t="inlineStr">
        <is>
          <t>High</t>
        </is>
      </c>
      <c r="G11" s="99" t="inlineStr">
        <is>
          <t>Not started</t>
        </is>
      </c>
      <c r="H11" s="112" t="n"/>
      <c r="I11" s="98" t="n"/>
      <c r="J11" s="99" t="n"/>
      <c r="K11" s="112" t="n"/>
    </row>
    <row r="12" ht="28" customHeight="1">
      <c r="A12" s="110" t="inlineStr">
        <is>
          <t>DOC-02</t>
        </is>
      </c>
      <c r="B12" s="111" t="inlineStr">
        <is>
          <t>DocLogix</t>
        </is>
      </c>
      <c r="C12" s="97" t="inlineStr">
        <is>
          <t>Revisions</t>
        </is>
      </c>
      <c r="D12" s="97" t="inlineStr">
        <is>
          <t>Upload a second revision</t>
        </is>
      </c>
      <c r="E12" s="95" t="inlineStr">
        <is>
          <t>Superseded kept, latest marked current</t>
        </is>
      </c>
      <c r="F12" s="96" t="inlineStr">
        <is>
          <t>High</t>
        </is>
      </c>
      <c r="G12" s="99" t="inlineStr">
        <is>
          <t>Not started</t>
        </is>
      </c>
      <c r="H12" s="112" t="n"/>
      <c r="I12" s="98" t="n"/>
      <c r="J12" s="99" t="n"/>
      <c r="K12" s="112" t="n"/>
    </row>
    <row r="13" ht="28" customHeight="1">
      <c r="A13" s="113" t="inlineStr">
        <is>
          <t>DOC-03</t>
        </is>
      </c>
      <c r="B13" s="114" t="inlineStr">
        <is>
          <t>DocLogix</t>
        </is>
      </c>
      <c r="C13" s="115" t="inlineStr">
        <is>
          <t>Transmittal</t>
        </is>
      </c>
      <c r="D13" s="115" t="inlineStr">
        <is>
          <t>Issue to two recipients</t>
        </is>
      </c>
      <c r="E13" s="116" t="inlineStr">
        <is>
          <t>Recorded with contents and recipients</t>
        </is>
      </c>
      <c r="F13" s="118" t="inlineStr">
        <is>
          <t>Medium</t>
        </is>
      </c>
      <c r="G13" s="99" t="inlineStr">
        <is>
          <t>Not started</t>
        </is>
      </c>
      <c r="H13" s="112" t="n"/>
      <c r="I13" s="98" t="n"/>
      <c r="J13" s="99" t="n"/>
      <c r="K13" s="112" t="n"/>
    </row>
    <row r="14" ht="28" customHeight="1">
      <c r="A14" s="110" t="inlineStr">
        <is>
          <t>DOC-04</t>
        </is>
      </c>
      <c r="B14" s="111" t="inlineStr">
        <is>
          <t>DocLogix</t>
        </is>
      </c>
      <c r="C14" s="97" t="inlineStr">
        <is>
          <t>Revision compare</t>
        </is>
      </c>
      <c r="D14" s="97" t="inlineStr">
        <is>
          <t>Compare two revisions</t>
        </is>
      </c>
      <c r="E14" s="95" t="inlineStr">
        <is>
          <t>Differences listed clearly</t>
        </is>
      </c>
      <c r="F14" s="100" t="inlineStr">
        <is>
          <t>Medium</t>
        </is>
      </c>
      <c r="G14" s="99" t="inlineStr">
        <is>
          <t>Not started</t>
        </is>
      </c>
      <c r="H14" s="112" t="n"/>
      <c r="I14" s="98" t="n"/>
      <c r="J14" s="99" t="n"/>
      <c r="K14" s="112" t="n"/>
    </row>
    <row r="15" ht="28" customHeight="1">
      <c r="A15" s="113" t="inlineStr">
        <is>
          <t>DOC-05</t>
        </is>
      </c>
      <c r="B15" s="114" t="inlineStr">
        <is>
          <t>DocLogix</t>
        </is>
      </c>
      <c r="C15" s="115" t="inlineStr">
        <is>
          <t>Search</t>
        </is>
      </c>
      <c r="D15" s="115" t="inlineStr">
        <is>
          <t>Search a phrase inside a document</t>
        </is>
      </c>
      <c r="E15" s="116" t="inlineStr">
        <is>
          <t>Document returned with the matching passage</t>
        </is>
      </c>
      <c r="F15" s="118" t="inlineStr">
        <is>
          <t>Medium</t>
        </is>
      </c>
      <c r="G15" s="99" t="inlineStr">
        <is>
          <t>Not started</t>
        </is>
      </c>
      <c r="H15" s="112" t="n"/>
      <c r="I15" s="98" t="n"/>
      <c r="J15" s="99" t="n"/>
      <c r="K15" s="112" t="n"/>
    </row>
    <row r="16" ht="28" customHeight="1">
      <c r="A16" s="110" t="inlineStr">
        <is>
          <t>DRW-01</t>
        </is>
      </c>
      <c r="B16" s="111" t="inlineStr">
        <is>
          <t>DrawLogix</t>
        </is>
      </c>
      <c r="C16" s="97" t="inlineStr">
        <is>
          <t>Upload PDF</t>
        </is>
      </c>
      <c r="D16" s="97" t="inlineStr">
        <is>
          <t>Upload a multi-sheet drawing PDF</t>
        </is>
      </c>
      <c r="E16" s="95" t="inlineStr">
        <is>
          <t>Each sheet listed with its sheet number</t>
        </is>
      </c>
      <c r="F16" s="96" t="inlineStr">
        <is>
          <t>High</t>
        </is>
      </c>
      <c r="G16" s="99" t="inlineStr">
        <is>
          <t>Not started</t>
        </is>
      </c>
      <c r="H16" s="112" t="n"/>
      <c r="I16" s="98" t="n"/>
      <c r="J16" s="99" t="n"/>
      <c r="K16" s="112" t="n"/>
    </row>
    <row r="17" ht="28" customHeight="1">
      <c r="A17" s="113" t="inlineStr">
        <is>
          <t>DRW-02</t>
        </is>
      </c>
      <c r="B17" s="114" t="inlineStr">
        <is>
          <t>DrawLogix</t>
        </is>
      </c>
      <c r="C17" s="115" t="inlineStr">
        <is>
          <t>Upload CAD</t>
        </is>
      </c>
      <c r="D17" s="115" t="inlineStr">
        <is>
          <t>Upload a DWG or DXF</t>
        </is>
      </c>
      <c r="E17" s="116" t="inlineStr">
        <is>
          <t>Layers and entities read; opens in the viewer</t>
        </is>
      </c>
      <c r="F17" s="117" t="inlineStr">
        <is>
          <t>High</t>
        </is>
      </c>
      <c r="G17" s="99" t="inlineStr">
        <is>
          <t>Not started</t>
        </is>
      </c>
      <c r="H17" s="112" t="n"/>
      <c r="I17" s="98" t="n"/>
      <c r="J17" s="99" t="n"/>
      <c r="K17" s="112" t="n"/>
    </row>
    <row r="18" ht="28" customHeight="1">
      <c r="A18" s="110" t="inlineStr">
        <is>
          <t>DRW-03</t>
        </is>
      </c>
      <c r="B18" s="111" t="inlineStr">
        <is>
          <t>DrawLogix</t>
        </is>
      </c>
      <c r="C18" s="97" t="inlineStr">
        <is>
          <t>Drawing index</t>
        </is>
      </c>
      <c r="D18" s="97" t="inlineStr">
        <is>
          <t>Check the index after processing</t>
        </is>
      </c>
      <c r="E18" s="95" t="inlineStr">
        <is>
          <t>Entity and layer count populated for every sheet</t>
        </is>
      </c>
      <c r="F18" s="96" t="inlineStr">
        <is>
          <t>High</t>
        </is>
      </c>
      <c r="G18" s="99" t="inlineStr">
        <is>
          <t>Not started</t>
        </is>
      </c>
      <c r="H18" s="112" t="n"/>
      <c r="I18" s="98" t="n"/>
      <c r="J18" s="99" t="n"/>
      <c r="K18" s="112" t="n"/>
    </row>
    <row r="19" ht="28" customHeight="1">
      <c r="A19" s="113" t="inlineStr">
        <is>
          <t>DRW-04</t>
        </is>
      </c>
      <c r="B19" s="114" t="inlineStr">
        <is>
          <t>DrawLogix</t>
        </is>
      </c>
      <c r="C19" s="115" t="inlineStr">
        <is>
          <t>Take-off</t>
        </is>
      </c>
      <c r="D19" s="115" t="inlineStr">
        <is>
          <t>Run take-off on a known drawing</t>
        </is>
      </c>
      <c r="E19" s="116" t="inlineStr">
        <is>
          <t>Measurements produced, each naming sheet and location</t>
        </is>
      </c>
      <c r="F19" s="117" t="inlineStr">
        <is>
          <t>High</t>
        </is>
      </c>
      <c r="G19" s="99" t="inlineStr">
        <is>
          <t>Not started</t>
        </is>
      </c>
      <c r="H19" s="112" t="n"/>
      <c r="I19" s="98" t="n"/>
      <c r="J19" s="99" t="n"/>
      <c r="K19" s="112" t="n"/>
    </row>
    <row r="20" ht="28" customHeight="1">
      <c r="A20" s="110" t="inlineStr">
        <is>
          <t>DRW-05</t>
        </is>
      </c>
      <c r="B20" s="111" t="inlineStr">
        <is>
          <t>DrawLogix</t>
        </is>
      </c>
      <c r="C20" s="97" t="inlineStr">
        <is>
          <t>Measurement trace</t>
        </is>
      </c>
      <c r="D20" s="97" t="inlineStr">
        <is>
          <t>Click a measurement</t>
        </is>
      </c>
      <c r="E20" s="95" t="inlineStr">
        <is>
          <t>Drawing opens at the region it came from</t>
        </is>
      </c>
      <c r="F20" s="96" t="inlineStr">
        <is>
          <t>High</t>
        </is>
      </c>
      <c r="G20" s="99" t="inlineStr">
        <is>
          <t>Not started</t>
        </is>
      </c>
      <c r="H20" s="112" t="n"/>
      <c r="I20" s="98" t="n"/>
      <c r="J20" s="99" t="n"/>
      <c r="K20" s="112" t="n"/>
    </row>
    <row r="21" ht="28" customHeight="1">
      <c r="A21" s="113" t="inlineStr">
        <is>
          <t>DRW-06</t>
        </is>
      </c>
      <c r="B21" s="114" t="inlineStr">
        <is>
          <t>DrawLogix</t>
        </is>
      </c>
      <c r="C21" s="115" t="inlineStr">
        <is>
          <t>BIM Studio draw</t>
        </is>
      </c>
      <c r="D21" s="115" t="inlineStr">
        <is>
          <t>Ask for a simple floor plan</t>
        </is>
      </c>
      <c r="E21" s="116" t="inlineStr">
        <is>
          <t>All requested elements placed, not just one</t>
        </is>
      </c>
      <c r="F21" s="117" t="inlineStr">
        <is>
          <t>High</t>
        </is>
      </c>
      <c r="G21" s="99" t="inlineStr">
        <is>
          <t>Not started</t>
        </is>
      </c>
      <c r="H21" s="112" t="n"/>
      <c r="I21" s="98" t="n"/>
      <c r="J21" s="99" t="n"/>
      <c r="K21" s="112" t="n"/>
    </row>
    <row r="22" ht="28" customHeight="1">
      <c r="A22" s="110" t="inlineStr">
        <is>
          <t>DRW-07</t>
        </is>
      </c>
      <c r="B22" s="111" t="inlineStr">
        <is>
          <t>DrawLogix</t>
        </is>
      </c>
      <c r="C22" s="97" t="inlineStr">
        <is>
          <t>Revision compare</t>
        </is>
      </c>
      <c r="D22" s="97" t="inlineStr">
        <is>
          <t>Upload a revised drawing</t>
        </is>
      </c>
      <c r="E22" s="95" t="inlineStr">
        <is>
          <t>Changes between revisions highlighted</t>
        </is>
      </c>
      <c r="F22" s="100" t="inlineStr">
        <is>
          <t>Medium</t>
        </is>
      </c>
      <c r="G22" s="99" t="inlineStr">
        <is>
          <t>Not started</t>
        </is>
      </c>
      <c r="H22" s="112" t="n"/>
      <c r="I22" s="98" t="n"/>
      <c r="J22" s="99" t="n"/>
      <c r="K22" s="112" t="n"/>
    </row>
    <row r="23" ht="28" customHeight="1">
      <c r="A23" s="113" t="inlineStr">
        <is>
          <t>QNT-01</t>
        </is>
      </c>
      <c r="B23" s="114" t="inlineStr">
        <is>
          <t>QuantLogix</t>
        </is>
      </c>
      <c r="C23" s="115" t="inlineStr">
        <is>
          <t>BOQ generation</t>
        </is>
      </c>
      <c r="D23" s="115" t="inlineStr">
        <is>
          <t>Generate a bill from measurements</t>
        </is>
      </c>
      <c r="E23" s="116" t="inlineStr">
        <is>
          <t>Lines produced, grouped, units normalised</t>
        </is>
      </c>
      <c r="F23" s="117" t="inlineStr">
        <is>
          <t>High</t>
        </is>
      </c>
      <c r="G23" s="99" t="inlineStr">
        <is>
          <t>Not started</t>
        </is>
      </c>
      <c r="H23" s="112" t="n"/>
      <c r="I23" s="98" t="n"/>
      <c r="J23" s="99" t="n"/>
      <c r="K23" s="112" t="n"/>
    </row>
    <row r="24" ht="28" customHeight="1">
      <c r="A24" s="110" t="inlineStr">
        <is>
          <t>QNT-02</t>
        </is>
      </c>
      <c r="B24" s="111" t="inlineStr">
        <is>
          <t>QuantLogix</t>
        </is>
      </c>
      <c r="C24" s="97" t="inlineStr">
        <is>
          <t>Trace to source</t>
        </is>
      </c>
      <c r="D24" s="97" t="inlineStr">
        <is>
          <t>Press Trace on a bill line</t>
        </is>
      </c>
      <c r="E24" s="95" t="inlineStr">
        <is>
          <t>Measurement, sheet and layer shown</t>
        </is>
      </c>
      <c r="F24" s="96" t="inlineStr">
        <is>
          <t>High</t>
        </is>
      </c>
      <c r="G24" s="99" t="inlineStr">
        <is>
          <t>Not started</t>
        </is>
      </c>
      <c r="H24" s="112" t="n"/>
      <c r="I24" s="98" t="n"/>
      <c r="J24" s="99" t="n"/>
      <c r="K24" s="112" t="n"/>
    </row>
    <row r="25" ht="28" customHeight="1">
      <c r="A25" s="113" t="inlineStr">
        <is>
          <t>QNT-03</t>
        </is>
      </c>
      <c r="B25" s="114" t="inlineStr">
        <is>
          <t>QuantLogix</t>
        </is>
      </c>
      <c r="C25" s="115" t="inlineStr">
        <is>
          <t>Correction cascade</t>
        </is>
      </c>
      <c r="D25" s="115" t="inlineStr">
        <is>
          <t>Change a confirmed measurement</t>
        </is>
      </c>
      <c r="E25" s="116" t="inlineStr">
        <is>
          <t>Downstream marked stale with a re-run list</t>
        </is>
      </c>
      <c r="F25" s="117" t="inlineStr">
        <is>
          <t>High</t>
        </is>
      </c>
      <c r="G25" s="99" t="inlineStr">
        <is>
          <t>Not started</t>
        </is>
      </c>
      <c r="H25" s="112" t="n"/>
      <c r="I25" s="98" t="n"/>
      <c r="J25" s="99" t="n"/>
      <c r="K25" s="112" t="n"/>
    </row>
    <row r="26" ht="28" customHeight="1">
      <c r="A26" s="110" t="inlineStr">
        <is>
          <t>QNT-04</t>
        </is>
      </c>
      <c r="B26" s="111" t="inlineStr">
        <is>
          <t>QuantLogix</t>
        </is>
      </c>
      <c r="C26" s="97" t="inlineStr">
        <is>
          <t>Reconciliation</t>
        </is>
      </c>
      <c r="D26" s="97" t="inlineStr">
        <is>
          <t>Compare to a supplied bill</t>
        </is>
      </c>
      <c r="E26" s="95" t="inlineStr">
        <is>
          <t>Differences listed line by line</t>
        </is>
      </c>
      <c r="F26" s="100" t="inlineStr">
        <is>
          <t>Medium</t>
        </is>
      </c>
      <c r="G26" s="99" t="inlineStr">
        <is>
          <t>Not started</t>
        </is>
      </c>
      <c r="H26" s="112" t="n"/>
      <c r="I26" s="98" t="n"/>
      <c r="J26" s="99" t="n"/>
      <c r="K26" s="112" t="n"/>
    </row>
    <row r="27" ht="28" customHeight="1">
      <c r="A27" s="113" t="inlineStr">
        <is>
          <t>CST-01</t>
        </is>
      </c>
      <c r="B27" s="114" t="inlineStr">
        <is>
          <t>CostLogix</t>
        </is>
      </c>
      <c r="C27" s="115" t="inlineStr">
        <is>
          <t>Rate application</t>
        </is>
      </c>
      <c r="D27" s="115" t="inlineStr">
        <is>
          <t>Price a bill from the library</t>
        </is>
      </c>
      <c r="E27" s="116" t="inlineStr">
        <is>
          <t>Every line priced; each rate names its origin</t>
        </is>
      </c>
      <c r="F27" s="117" t="inlineStr">
        <is>
          <t>High</t>
        </is>
      </c>
      <c r="G27" s="99" t="inlineStr">
        <is>
          <t>Not started</t>
        </is>
      </c>
      <c r="H27" s="112" t="n"/>
      <c r="I27" s="98" t="n"/>
      <c r="J27" s="99" t="n"/>
      <c r="K27" s="112" t="n"/>
    </row>
    <row r="28" ht="28" customHeight="1">
      <c r="A28" s="110" t="inlineStr">
        <is>
          <t>CST-02</t>
        </is>
      </c>
      <c r="B28" s="111" t="inlineStr">
        <is>
          <t>CostLogix</t>
        </is>
      </c>
      <c r="C28" s="97" t="inlineStr">
        <is>
          <t>Rate override</t>
        </is>
      </c>
      <c r="D28" s="97" t="inlineStr">
        <is>
          <t>Override one rate</t>
        </is>
      </c>
      <c r="E28" s="95" t="inlineStr">
        <is>
          <t>Applied, original kept, change audited</t>
        </is>
      </c>
      <c r="F28" s="96" t="inlineStr">
        <is>
          <t>High</t>
        </is>
      </c>
      <c r="G28" s="99" t="inlineStr">
        <is>
          <t>Not started</t>
        </is>
      </c>
      <c r="H28" s="112" t="n"/>
      <c r="I28" s="98" t="n"/>
      <c r="J28" s="99" t="n"/>
      <c r="K28" s="112" t="n"/>
    </row>
    <row r="29" ht="28" customHeight="1">
      <c r="A29" s="113" t="inlineStr">
        <is>
          <t>CST-03</t>
        </is>
      </c>
      <c r="B29" s="114" t="inlineStr">
        <is>
          <t>CostLogix</t>
        </is>
      </c>
      <c r="C29" s="115" t="inlineStr">
        <is>
          <t>Estimate build-up</t>
        </is>
      </c>
      <c r="D29" s="115" t="inlineStr">
        <is>
          <t>Open the estimate</t>
        </is>
      </c>
      <c r="E29" s="116" t="inlineStr">
        <is>
          <t>Bill, overheads, contingency and total, all adjustable</t>
        </is>
      </c>
      <c r="F29" s="118" t="inlineStr">
        <is>
          <t>Medium</t>
        </is>
      </c>
      <c r="G29" s="99" t="inlineStr">
        <is>
          <t>Not started</t>
        </is>
      </c>
      <c r="H29" s="112" t="n"/>
      <c r="I29" s="98" t="n"/>
      <c r="J29" s="99" t="n"/>
      <c r="K29" s="112" t="n"/>
    </row>
    <row r="30" ht="28" customHeight="1">
      <c r="A30" s="110" t="inlineStr">
        <is>
          <t>CST-04</t>
        </is>
      </c>
      <c r="B30" s="111" t="inlineStr">
        <is>
          <t>CostLogix</t>
        </is>
      </c>
      <c r="C30" s="97" t="inlineStr">
        <is>
          <t>Export</t>
        </is>
      </c>
      <c r="D30" s="97" t="inlineStr">
        <is>
          <t>Export the estimate</t>
        </is>
      </c>
      <c r="E30" s="95" t="inlineStr">
        <is>
          <t>Opens in Excel with header details filled</t>
        </is>
      </c>
      <c r="F30" s="100" t="inlineStr">
        <is>
          <t>Medium</t>
        </is>
      </c>
      <c r="G30" s="99" t="inlineStr">
        <is>
          <t>Not started</t>
        </is>
      </c>
      <c r="H30" s="112" t="n"/>
      <c r="I30" s="98" t="n"/>
      <c r="J30" s="99" t="n"/>
      <c r="K30" s="112" t="n"/>
    </row>
    <row r="31" ht="28" customHeight="1">
      <c r="A31" s="113" t="inlineStr">
        <is>
          <t>SCH-01</t>
        </is>
      </c>
      <c r="B31" s="114" t="inlineStr">
        <is>
          <t>ScheduleLogix</t>
        </is>
      </c>
      <c r="C31" s="115" t="inlineStr">
        <is>
          <t>Programme</t>
        </is>
      </c>
      <c r="D31" s="115" t="inlineStr">
        <is>
          <t>Build from the bill</t>
        </is>
      </c>
      <c r="E31" s="116" t="inlineStr">
        <is>
          <t>Activities with durations and dependencies</t>
        </is>
      </c>
      <c r="F31" s="117" t="inlineStr">
        <is>
          <t>High</t>
        </is>
      </c>
      <c r="G31" s="99" t="inlineStr">
        <is>
          <t>Not started</t>
        </is>
      </c>
      <c r="H31" s="112" t="n"/>
      <c r="I31" s="98" t="n"/>
      <c r="J31" s="99" t="n"/>
      <c r="K31" s="112" t="n"/>
    </row>
    <row r="32" ht="28" customHeight="1">
      <c r="A32" s="110" t="inlineStr">
        <is>
          <t>SCH-02</t>
        </is>
      </c>
      <c r="B32" s="111" t="inlineStr">
        <is>
          <t>ScheduleLogix</t>
        </is>
      </c>
      <c r="C32" s="97" t="inlineStr">
        <is>
          <t>Critical path</t>
        </is>
      </c>
      <c r="D32" s="97" t="inlineStr">
        <is>
          <t>Check the critical path</t>
        </is>
      </c>
      <c r="E32" s="95" t="inlineStr">
        <is>
          <t>Critical activities drive the end date</t>
        </is>
      </c>
      <c r="F32" s="96" t="inlineStr">
        <is>
          <t>High</t>
        </is>
      </c>
      <c r="G32" s="99" t="inlineStr">
        <is>
          <t>Not started</t>
        </is>
      </c>
      <c r="H32" s="112" t="n"/>
      <c r="I32" s="98" t="n"/>
      <c r="J32" s="99" t="n"/>
      <c r="K32" s="112" t="n"/>
    </row>
    <row r="33" ht="28" customHeight="1">
      <c r="A33" s="113" t="inlineStr">
        <is>
          <t>SCH-03</t>
        </is>
      </c>
      <c r="B33" s="114" t="inlineStr">
        <is>
          <t>ScheduleLogix</t>
        </is>
      </c>
      <c r="C33" s="115" t="inlineStr">
        <is>
          <t>Calendar</t>
        </is>
      </c>
      <c r="D33" s="115" t="inlineStr">
        <is>
          <t>Set a Gulf working week</t>
        </is>
      </c>
      <c r="E33" s="116" t="inlineStr">
        <is>
          <t>Durations recalculate</t>
        </is>
      </c>
      <c r="F33" s="118" t="inlineStr">
        <is>
          <t>Medium</t>
        </is>
      </c>
      <c r="G33" s="99" t="inlineStr">
        <is>
          <t>Not started</t>
        </is>
      </c>
      <c r="H33" s="112" t="n"/>
      <c r="I33" s="98" t="n"/>
      <c r="J33" s="99" t="n"/>
      <c r="K33" s="112" t="n"/>
    </row>
    <row r="34" ht="28" customHeight="1">
      <c r="A34" s="110" t="inlineStr">
        <is>
          <t>SCH-04</t>
        </is>
      </c>
      <c r="B34" s="111" t="inlineStr">
        <is>
          <t>ScheduleLogix</t>
        </is>
      </c>
      <c r="C34" s="97" t="inlineStr">
        <is>
          <t>Baseline</t>
        </is>
      </c>
      <c r="D34" s="97" t="inlineStr">
        <is>
          <t>Set then move a baseline</t>
        </is>
      </c>
      <c r="E34" s="95" t="inlineStr">
        <is>
          <t>An unexplained move is refused</t>
        </is>
      </c>
      <c r="F34" s="100" t="inlineStr">
        <is>
          <t>Medium</t>
        </is>
      </c>
      <c r="G34" s="99" t="inlineStr">
        <is>
          <t>Not started</t>
        </is>
      </c>
      <c r="H34" s="112" t="n"/>
      <c r="I34" s="98" t="n"/>
      <c r="J34" s="99" t="n"/>
      <c r="K34" s="112" t="n"/>
    </row>
    <row r="35" ht="28" customHeight="1">
      <c r="A35" s="113" t="inlineStr">
        <is>
          <t>PRC-01</t>
        </is>
      </c>
      <c r="B35" s="114" t="inlineStr">
        <is>
          <t>ProcureLogix</t>
        </is>
      </c>
      <c r="C35" s="115" t="inlineStr">
        <is>
          <t>Packages</t>
        </is>
      </c>
      <c r="D35" s="115" t="inlineStr">
        <is>
          <t>Group bill lines into packages</t>
        </is>
      </c>
      <c r="E35" s="116" t="inlineStr">
        <is>
          <t>Packages with value, lines and lead time</t>
        </is>
      </c>
      <c r="F35" s="117" t="inlineStr">
        <is>
          <t>High</t>
        </is>
      </c>
      <c r="G35" s="99" t="inlineStr">
        <is>
          <t>Not started</t>
        </is>
      </c>
      <c r="H35" s="112" t="n"/>
      <c r="I35" s="98" t="n"/>
      <c r="J35" s="99" t="n"/>
      <c r="K35" s="112" t="n"/>
    </row>
    <row r="36" ht="28" customHeight="1">
      <c r="A36" s="110" t="inlineStr">
        <is>
          <t>PRC-02</t>
        </is>
      </c>
      <c r="B36" s="111" t="inlineStr">
        <is>
          <t>ProcureLogix</t>
        </is>
      </c>
      <c r="C36" s="97" t="inlineStr">
        <is>
          <t>Package trace</t>
        </is>
      </c>
      <c r="D36" s="97" t="inlineStr">
        <is>
          <t>Open a package</t>
        </is>
      </c>
      <c r="E36" s="95" t="inlineStr">
        <is>
          <t>The bill lines it covers are listed</t>
        </is>
      </c>
      <c r="F36" s="100" t="inlineStr">
        <is>
          <t>Medium</t>
        </is>
      </c>
      <c r="G36" s="99" t="inlineStr">
        <is>
          <t>Not started</t>
        </is>
      </c>
      <c r="H36" s="112" t="n"/>
      <c r="I36" s="98" t="n"/>
      <c r="J36" s="99" t="n"/>
      <c r="K36" s="112" t="n"/>
    </row>
    <row r="37" ht="28" customHeight="1">
      <c r="A37" s="113" t="inlineStr">
        <is>
          <t>NAR-01</t>
        </is>
      </c>
      <c r="B37" s="114" t="inlineStr">
        <is>
          <t>NarrativeLogix</t>
        </is>
      </c>
      <c r="C37" s="115" t="inlineStr">
        <is>
          <t>Narrative</t>
        </is>
      </c>
      <c r="D37" s="115" t="inlineStr">
        <is>
          <t>Generate the technical narrative</t>
        </is>
      </c>
      <c r="E37" s="116" t="inlineStr">
        <is>
          <t>Draft from confirmed records only</t>
        </is>
      </c>
      <c r="F37" s="118" t="inlineStr">
        <is>
          <t>Medium</t>
        </is>
      </c>
      <c r="G37" s="99" t="inlineStr">
        <is>
          <t>Not started</t>
        </is>
      </c>
      <c r="H37" s="112" t="n"/>
      <c r="I37" s="98" t="n"/>
      <c r="J37" s="99" t="n"/>
      <c r="K37" s="112" t="n"/>
    </row>
    <row r="38" ht="28" customHeight="1">
      <c r="A38" s="110" t="inlineStr">
        <is>
          <t>PLT-01</t>
        </is>
      </c>
      <c r="B38" s="111" t="inlineStr">
        <is>
          <t>Platform</t>
        </is>
      </c>
      <c r="C38" s="97" t="inlineStr">
        <is>
          <t>Login</t>
        </is>
      </c>
      <c r="D38" s="97" t="inlineStr">
        <is>
          <t>Sign in as each role</t>
        </is>
      </c>
      <c r="E38" s="95" t="inlineStr">
        <is>
          <t>Correct workspace and permissions</t>
        </is>
      </c>
      <c r="F38" s="96" t="inlineStr">
        <is>
          <t>High</t>
        </is>
      </c>
      <c r="G38" s="99" t="inlineStr">
        <is>
          <t>Not started</t>
        </is>
      </c>
      <c r="H38" s="112" t="n"/>
      <c r="I38" s="98" t="n"/>
      <c r="J38" s="99" t="n"/>
      <c r="K38" s="112" t="n"/>
    </row>
    <row r="39" ht="28" customHeight="1">
      <c r="A39" s="113" t="inlineStr">
        <is>
          <t>PLT-02</t>
        </is>
      </c>
      <c r="B39" s="114" t="inlineStr">
        <is>
          <t>Platform</t>
        </is>
      </c>
      <c r="C39" s="115" t="inlineStr">
        <is>
          <t>Review queue</t>
        </is>
      </c>
      <c r="D39" s="115" t="inlineStr">
        <is>
          <t>Confirm one, reject another</t>
        </is>
      </c>
      <c r="E39" s="116" t="inlineStr">
        <is>
          <t>Both recorded against the tester's name</t>
        </is>
      </c>
      <c r="F39" s="117" t="inlineStr">
        <is>
          <t>High</t>
        </is>
      </c>
      <c r="G39" s="99" t="inlineStr">
        <is>
          <t>Not started</t>
        </is>
      </c>
      <c r="H39" s="112" t="n"/>
      <c r="I39" s="98" t="n"/>
      <c r="J39" s="99" t="n"/>
      <c r="K39" s="112" t="n"/>
    </row>
    <row r="40" ht="28" customHeight="1">
      <c r="A40" s="110" t="inlineStr">
        <is>
          <t>PLT-03</t>
        </is>
      </c>
      <c r="B40" s="111" t="inlineStr">
        <is>
          <t>Platform</t>
        </is>
      </c>
      <c r="C40" s="97" t="inlineStr">
        <is>
          <t>Permission gate</t>
        </is>
      </c>
      <c r="D40" s="97" t="inlineStr">
        <is>
          <t>Sign in without confirm rights</t>
        </is>
      </c>
      <c r="E40" s="95" t="inlineStr">
        <is>
          <t>Button hidden; API refuses the same action</t>
        </is>
      </c>
      <c r="F40" s="96" t="inlineStr">
        <is>
          <t>High</t>
        </is>
      </c>
      <c r="G40" s="99" t="inlineStr">
        <is>
          <t>Not started</t>
        </is>
      </c>
      <c r="H40" s="112" t="n"/>
      <c r="I40" s="98" t="n"/>
      <c r="J40" s="99" t="n"/>
      <c r="K40" s="112" t="n"/>
    </row>
    <row r="41" ht="28" customHeight="1">
      <c r="A41" s="113" t="inlineStr">
        <is>
          <t>PLT-04</t>
        </is>
      </c>
      <c r="B41" s="114" t="inlineStr">
        <is>
          <t>Platform</t>
        </is>
      </c>
      <c r="C41" s="115" t="inlineStr">
        <is>
          <t>Audit chain</t>
        </is>
      </c>
      <c r="D41" s="115" t="inlineStr">
        <is>
          <t>Press Verify audit chain</t>
        </is>
      </c>
      <c r="E41" s="116" t="inlineStr">
        <is>
          <t>Chain reports clean</t>
        </is>
      </c>
      <c r="F41" s="117" t="inlineStr">
        <is>
          <t>High</t>
        </is>
      </c>
      <c r="G41" s="99" t="inlineStr">
        <is>
          <t>Not started</t>
        </is>
      </c>
      <c r="H41" s="112" t="n"/>
      <c r="I41" s="98" t="n"/>
      <c r="J41" s="99" t="n"/>
      <c r="K41" s="112" t="n"/>
    </row>
    <row r="42" ht="28" customHeight="1">
      <c r="A42" s="110" t="inlineStr">
        <is>
          <t>PLT-05</t>
        </is>
      </c>
      <c r="B42" s="111" t="inlineStr">
        <is>
          <t>Platform</t>
        </is>
      </c>
      <c r="C42" s="97" t="inlineStr">
        <is>
          <t>Tenant isolation</t>
        </is>
      </c>
      <c r="D42" s="97" t="inlineStr">
        <is>
          <t>Open another tenant's project by ID</t>
        </is>
      </c>
      <c r="E42" s="95" t="inlineStr">
        <is>
          <t>Refused; nothing returned</t>
        </is>
      </c>
      <c r="F42" s="96" t="inlineStr">
        <is>
          <t>High</t>
        </is>
      </c>
      <c r="G42" s="99" t="inlineStr">
        <is>
          <t>Not started</t>
        </is>
      </c>
      <c r="H42" s="112" t="n"/>
      <c r="I42" s="98" t="n"/>
      <c r="J42" s="99" t="n"/>
      <c r="K42" s="112" t="n"/>
    </row>
    <row r="43" ht="28" customHeight="1">
      <c r="A43" s="113" t="inlineStr">
        <is>
          <t>PLT-06</t>
        </is>
      </c>
      <c r="B43" s="114" t="inlineStr">
        <is>
          <t>Platform</t>
        </is>
      </c>
      <c r="C43" s="115" t="inlineStr">
        <is>
          <t>Language</t>
        </is>
      </c>
      <c r="D43" s="115" t="inlineStr">
        <is>
          <t>Switch to Arabic</t>
        </is>
      </c>
      <c r="E43" s="116" t="inlineStr">
        <is>
          <t>Full RTL layout, same records and permissions</t>
        </is>
      </c>
      <c r="F43" s="118" t="inlineStr">
        <is>
          <t>Medium</t>
        </is>
      </c>
      <c r="G43" s="99" t="inlineStr">
        <is>
          <t>Not started</t>
        </is>
      </c>
      <c r="H43" s="112" t="n"/>
      <c r="I43" s="98" t="n"/>
      <c r="J43" s="99" t="n"/>
      <c r="K43" s="112" t="n"/>
    </row>
    <row r="44" ht="28" customHeight="1">
      <c r="A44" s="110" t="inlineStr">
        <is>
          <t>PLT-07</t>
        </is>
      </c>
      <c r="B44" s="111" t="inlineStr">
        <is>
          <t>Platform</t>
        </is>
      </c>
      <c r="C44" s="97" t="inlineStr">
        <is>
          <t>Autopilot</t>
        </is>
      </c>
      <c r="D44" s="97" t="inlineStr">
        <is>
          <t>Run a bid end to end</t>
        </is>
      </c>
      <c r="E44" s="95" t="inlineStr">
        <is>
          <t>Every stage advances; start/stop/finish audited</t>
        </is>
      </c>
      <c r="F44" s="100" t="inlineStr">
        <is>
          <t>Medium</t>
        </is>
      </c>
      <c r="G44" s="99" t="inlineStr">
        <is>
          <t>Not started</t>
        </is>
      </c>
      <c r="H44" s="112" t="n"/>
      <c r="I44" s="98" t="n"/>
      <c r="J44" s="99" t="n"/>
      <c r="K44" s="112" t="n"/>
    </row>
    <row r="45" ht="28" customHeight="1">
      <c r="A45" s="113" t="inlineStr">
        <is>
          <t>PLT-08</t>
        </is>
      </c>
      <c r="B45" s="114" t="inlineStr">
        <is>
          <t>Platform</t>
        </is>
      </c>
      <c r="C45" s="115" t="inlineStr">
        <is>
          <t>Blocked request</t>
        </is>
      </c>
      <c r="D45" s="115" t="inlineStr">
        <is>
          <t>Process an unclassified document</t>
        </is>
      </c>
      <c r="E45" s="116" t="inlineStr">
        <is>
          <t>Refused with a clear message, not silence</t>
        </is>
      </c>
      <c r="F45" s="117" t="inlineStr">
        <is>
          <t>High</t>
        </is>
      </c>
      <c r="G45" s="99" t="inlineStr">
        <is>
          <t>Not started</t>
        </is>
      </c>
      <c r="H45" s="112" t="n"/>
      <c r="I45" s="98" t="n"/>
      <c r="J45" s="99" t="n"/>
      <c r="K45" s="112" t="n"/>
    </row>
  </sheetData>
  <autoFilter ref="A5:K45"/>
  <conditionalFormatting sqref="G6:G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G6:G200" showDropDown="0" showInputMessage="0" showErrorMessage="0" allowBlank="1" error="Pick one of: Not started, Pass, Fail, Blocked, N/A" promptTitle="Result" prompt="Not started / Pass / Fail / Blocked / N/A" type="list">
      <formula1>"Not started,Pass,Fail,Blocked,N/A"</formula1>
    </dataValidation>
  </dataValidations>
  <hyperlinks>
    <hyperlink xmlns:r="http://schemas.openxmlformats.org/officeDocument/2006/relationships" ref="A1" r:id="rId1"/>
  </hyperlinks>
  <pageMargins left="0.75" right="0.75" top="1" bottom="1" header="0.5" footer="0.5"/>
  <pageSetup orientation="landscape" fitToWidth="1"/>
</worksheet>
</file>

<file path=xl/worksheets/sheet11.xml><?xml version="1.0" encoding="utf-8"?>
<worksheet xmlns="http://schemas.openxmlformats.org/spreadsheetml/2006/main">
  <sheetPr>
    <tabColor rgb="008A5A12"/>
    <outlinePr summaryBelow="1" summaryRight="1"/>
    <pageSetUpPr fitToPage="1"/>
  </sheetPr>
  <dimension ref="A1:O22"/>
  <sheetViews>
    <sheetView showGridLines="0" workbookViewId="0">
      <pane ySplit="5" topLeftCell="A6" activePane="bottomLeft" state="frozen"/>
      <selection pane="bottomLeft" activeCell="A1" sqref="A1"/>
    </sheetView>
  </sheetViews>
  <sheetFormatPr baseColWidth="8" defaultRowHeight="15"/>
  <cols>
    <col width="9" customWidth="1" min="1" max="1"/>
    <col width="15" customWidth="1" min="2" max="2"/>
    <col width="28" customWidth="1" min="3" max="3"/>
    <col width="10" customWidth="1" min="4" max="4"/>
    <col width="9" customWidth="1" min="5" max="5"/>
    <col width="11" customWidth="1" min="6" max="6"/>
    <col width="11" customWidth="1" min="7" max="7"/>
    <col width="11" customWidth="1" min="8" max="8"/>
    <col width="11" customWidth="1" min="9" max="9"/>
    <col width="12" customWidth="1" min="10" max="10"/>
    <col width="12" customWidth="1" min="11" max="11"/>
    <col width="12" customWidth="1" min="12" max="12"/>
    <col width="13" customWidth="1" min="13" max="13"/>
    <col width="12" customWidth="1" min="14" max="14"/>
    <col width="24" customWidth="1" min="15" max="15"/>
  </cols>
  <sheetData>
    <row r="1">
      <c r="A1" s="16" t="inlineStr">
        <is>
          <t>‹ Contents</t>
        </is>
      </c>
    </row>
    <row r="2" ht="26" customHeight="1">
      <c r="A2" s="1" t="inlineStr">
        <is>
          <t>Document processing — time and tokens by size</t>
        </is>
      </c>
    </row>
    <row r="3">
      <c r="A3" s="2" t="inlineStr">
        <is>
          <t>Three files per band. Run each twice: cold, then again to see if reuse helps.</t>
        </is>
      </c>
    </row>
    <row r="5" ht="32" customHeight="1">
      <c r="A5" s="31" t="inlineStr">
        <is>
          <t>ID</t>
        </is>
      </c>
      <c r="B5" s="31" t="inlineStr">
        <is>
          <t>Size band</t>
        </is>
      </c>
      <c r="C5" s="31" t="inlineStr">
        <is>
          <t>File used</t>
        </is>
      </c>
      <c r="D5" s="31" t="inlineStr">
        <is>
          <t>Size MB</t>
        </is>
      </c>
      <c r="E5" s="31" t="inlineStr">
        <is>
          <t>Pages</t>
        </is>
      </c>
      <c r="F5" s="31" t="inlineStr">
        <is>
          <t>Target sec</t>
        </is>
      </c>
      <c r="G5" s="31" t="inlineStr">
        <is>
          <t>Run 1</t>
        </is>
      </c>
      <c r="H5" s="31" t="inlineStr">
        <is>
          <t>Run 2</t>
        </is>
      </c>
      <c r="I5" s="31" t="inlineStr">
        <is>
          <t>Avg sec</t>
        </is>
      </c>
      <c r="J5" s="31" t="inlineStr">
        <is>
          <t>Tokens in</t>
        </is>
      </c>
      <c r="K5" s="31" t="inlineStr">
        <is>
          <t>Tokens out</t>
        </is>
      </c>
      <c r="L5" s="31" t="inlineStr">
        <is>
          <t>Result</t>
        </is>
      </c>
      <c r="M5" s="31" t="inlineStr">
        <is>
          <t>Tokens/page</t>
        </is>
      </c>
      <c r="N5" s="31" t="inlineStr">
        <is>
          <t>Tester</t>
        </is>
      </c>
      <c r="O5" s="31" t="inlineStr">
        <is>
          <t>Notes</t>
        </is>
      </c>
    </row>
    <row r="6" ht="21" customHeight="1">
      <c r="A6" s="119" t="inlineStr">
        <is>
          <t>DOC-A1</t>
        </is>
      </c>
      <c r="B6" s="33" t="inlineStr">
        <is>
          <t>&lt; 0.5 MB</t>
        </is>
      </c>
      <c r="C6" s="120" t="n"/>
      <c r="D6" s="121" t="n"/>
      <c r="E6" s="121" t="n"/>
      <c r="F6" s="122" t="n">
        <v>10</v>
      </c>
      <c r="G6" s="121" t="n"/>
      <c r="H6" s="121" t="n"/>
      <c r="I6" s="123">
        <f>IF(COUNT(G6:H6)=0,"",AVERAGE(G6:H6))</f>
        <v/>
      </c>
      <c r="J6" s="121" t="n"/>
      <c r="K6" s="121" t="n"/>
      <c r="L6" s="124">
        <f>IF(I6="","Not started",IF(I6&lt;=F6,"Pass","Fail"))</f>
        <v/>
      </c>
      <c r="M6" s="125">
        <f>IF(OR(E6="",J6=""),"",(J6+K6)/E6)</f>
        <v/>
      </c>
      <c r="N6" s="120" t="n"/>
      <c r="O6" s="126" t="n"/>
    </row>
    <row r="7" ht="21" customHeight="1">
      <c r="A7" s="119" t="inlineStr">
        <is>
          <t>DOC-A2</t>
        </is>
      </c>
      <c r="B7" s="33" t="inlineStr">
        <is>
          <t>&lt; 0.5 MB</t>
        </is>
      </c>
      <c r="C7" s="120" t="n"/>
      <c r="D7" s="121" t="n"/>
      <c r="E7" s="121" t="n"/>
      <c r="F7" s="122" t="n">
        <v>10</v>
      </c>
      <c r="G7" s="121" t="n"/>
      <c r="H7" s="121" t="n"/>
      <c r="I7" s="123">
        <f>IF(COUNT(G7:H7)=0,"",AVERAGE(G7:H7))</f>
        <v/>
      </c>
      <c r="J7" s="121" t="n"/>
      <c r="K7" s="121" t="n"/>
      <c r="L7" s="124">
        <f>IF(I7="","Not started",IF(I7&lt;=F7,"Pass","Fail"))</f>
        <v/>
      </c>
      <c r="M7" s="125">
        <f>IF(OR(E7="",J7=""),"",(J7+K7)/E7)</f>
        <v/>
      </c>
      <c r="N7" s="120" t="n"/>
      <c r="O7" s="126" t="n"/>
    </row>
    <row r="8" ht="21" customHeight="1">
      <c r="A8" s="119" t="inlineStr">
        <is>
          <t>DOC-A3</t>
        </is>
      </c>
      <c r="B8" s="33" t="inlineStr">
        <is>
          <t>&lt; 0.5 MB</t>
        </is>
      </c>
      <c r="C8" s="120" t="n"/>
      <c r="D8" s="121" t="n"/>
      <c r="E8" s="121" t="n"/>
      <c r="F8" s="122" t="n">
        <v>10</v>
      </c>
      <c r="G8" s="121" t="n"/>
      <c r="H8" s="121" t="n"/>
      <c r="I8" s="123">
        <f>IF(COUNT(G8:H8)=0,"",AVERAGE(G8:H8))</f>
        <v/>
      </c>
      <c r="J8" s="121" t="n"/>
      <c r="K8" s="121" t="n"/>
      <c r="L8" s="124">
        <f>IF(I8="","Not started",IF(I8&lt;=F8,"Pass","Fail"))</f>
        <v/>
      </c>
      <c r="M8" s="125">
        <f>IF(OR(E8="",J8=""),"",(J8+K8)/E8)</f>
        <v/>
      </c>
      <c r="N8" s="120" t="n"/>
      <c r="O8" s="126" t="n"/>
    </row>
    <row r="9" ht="21" customHeight="1">
      <c r="A9" s="119" t="inlineStr">
        <is>
          <t>DOC-B1</t>
        </is>
      </c>
      <c r="B9" s="33" t="inlineStr">
        <is>
          <t>0.5 – 2 MB</t>
        </is>
      </c>
      <c r="C9" s="120" t="n"/>
      <c r="D9" s="121" t="n"/>
      <c r="E9" s="121" t="n"/>
      <c r="F9" s="122" t="n">
        <v>30</v>
      </c>
      <c r="G9" s="121" t="n"/>
      <c r="H9" s="121" t="n"/>
      <c r="I9" s="123">
        <f>IF(COUNT(G9:H9)=0,"",AVERAGE(G9:H9))</f>
        <v/>
      </c>
      <c r="J9" s="121" t="n"/>
      <c r="K9" s="121" t="n"/>
      <c r="L9" s="124">
        <f>IF(I9="","Not started",IF(I9&lt;=F9,"Pass","Fail"))</f>
        <v/>
      </c>
      <c r="M9" s="125">
        <f>IF(OR(E9="",J9=""),"",(J9+K9)/E9)</f>
        <v/>
      </c>
      <c r="N9" s="120" t="n"/>
      <c r="O9" s="126" t="n"/>
    </row>
    <row r="10" ht="21" customHeight="1">
      <c r="A10" s="119" t="inlineStr">
        <is>
          <t>DOC-B2</t>
        </is>
      </c>
      <c r="B10" s="33" t="inlineStr">
        <is>
          <t>0.5 – 2 MB</t>
        </is>
      </c>
      <c r="C10" s="120" t="n"/>
      <c r="D10" s="121" t="n"/>
      <c r="E10" s="121" t="n"/>
      <c r="F10" s="122" t="n">
        <v>30</v>
      </c>
      <c r="G10" s="121" t="n"/>
      <c r="H10" s="121" t="n"/>
      <c r="I10" s="123">
        <f>IF(COUNT(G10:H10)=0,"",AVERAGE(G10:H10))</f>
        <v/>
      </c>
      <c r="J10" s="121" t="n"/>
      <c r="K10" s="121" t="n"/>
      <c r="L10" s="124">
        <f>IF(I10="","Not started",IF(I10&lt;=F10,"Pass","Fail"))</f>
        <v/>
      </c>
      <c r="M10" s="125">
        <f>IF(OR(E10="",J10=""),"",(J10+K10)/E10)</f>
        <v/>
      </c>
      <c r="N10" s="120" t="n"/>
      <c r="O10" s="126" t="n"/>
    </row>
    <row r="11" ht="21" customHeight="1">
      <c r="A11" s="119" t="inlineStr">
        <is>
          <t>DOC-B3</t>
        </is>
      </c>
      <c r="B11" s="33" t="inlineStr">
        <is>
          <t>0.5 – 2 MB</t>
        </is>
      </c>
      <c r="C11" s="120" t="n"/>
      <c r="D11" s="121" t="n"/>
      <c r="E11" s="121" t="n"/>
      <c r="F11" s="122" t="n">
        <v>30</v>
      </c>
      <c r="G11" s="121" t="n"/>
      <c r="H11" s="121" t="n"/>
      <c r="I11" s="123">
        <f>IF(COUNT(G11:H11)=0,"",AVERAGE(G11:H11))</f>
        <v/>
      </c>
      <c r="J11" s="121" t="n"/>
      <c r="K11" s="121" t="n"/>
      <c r="L11" s="124">
        <f>IF(I11="","Not started",IF(I11&lt;=F11,"Pass","Fail"))</f>
        <v/>
      </c>
      <c r="M11" s="125">
        <f>IF(OR(E11="",J11=""),"",(J11+K11)/E11)</f>
        <v/>
      </c>
      <c r="N11" s="120" t="n"/>
      <c r="O11" s="126" t="n"/>
    </row>
    <row r="12" ht="21" customHeight="1">
      <c r="A12" s="119" t="inlineStr">
        <is>
          <t>DOC-C1</t>
        </is>
      </c>
      <c r="B12" s="33" t="inlineStr">
        <is>
          <t>2 – 8 MB</t>
        </is>
      </c>
      <c r="C12" s="120" t="n"/>
      <c r="D12" s="121" t="n"/>
      <c r="E12" s="121" t="n"/>
      <c r="F12" s="122" t="n">
        <v>90</v>
      </c>
      <c r="G12" s="121" t="n"/>
      <c r="H12" s="121" t="n"/>
      <c r="I12" s="123">
        <f>IF(COUNT(G12:H12)=0,"",AVERAGE(G12:H12))</f>
        <v/>
      </c>
      <c r="J12" s="121" t="n"/>
      <c r="K12" s="121" t="n"/>
      <c r="L12" s="124">
        <f>IF(I12="","Not started",IF(I12&lt;=F12,"Pass","Fail"))</f>
        <v/>
      </c>
      <c r="M12" s="125">
        <f>IF(OR(E12="",J12=""),"",(J12+K12)/E12)</f>
        <v/>
      </c>
      <c r="N12" s="120" t="n"/>
      <c r="O12" s="126" t="n"/>
    </row>
    <row r="13" ht="21" customHeight="1">
      <c r="A13" s="119" t="inlineStr">
        <is>
          <t>DOC-C2</t>
        </is>
      </c>
      <c r="B13" s="33" t="inlineStr">
        <is>
          <t>2 – 8 MB</t>
        </is>
      </c>
      <c r="C13" s="120" t="n"/>
      <c r="D13" s="121" t="n"/>
      <c r="E13" s="121" t="n"/>
      <c r="F13" s="122" t="n">
        <v>90</v>
      </c>
      <c r="G13" s="121" t="n"/>
      <c r="H13" s="121" t="n"/>
      <c r="I13" s="123">
        <f>IF(COUNT(G13:H13)=0,"",AVERAGE(G13:H13))</f>
        <v/>
      </c>
      <c r="J13" s="121" t="n"/>
      <c r="K13" s="121" t="n"/>
      <c r="L13" s="124">
        <f>IF(I13="","Not started",IF(I13&lt;=F13,"Pass","Fail"))</f>
        <v/>
      </c>
      <c r="M13" s="125">
        <f>IF(OR(E13="",J13=""),"",(J13+K13)/E13)</f>
        <v/>
      </c>
      <c r="N13" s="120" t="n"/>
      <c r="O13" s="126" t="n"/>
    </row>
    <row r="14" ht="21" customHeight="1">
      <c r="A14" s="119" t="inlineStr">
        <is>
          <t>DOC-C3</t>
        </is>
      </c>
      <c r="B14" s="33" t="inlineStr">
        <is>
          <t>2 – 8 MB</t>
        </is>
      </c>
      <c r="C14" s="120" t="n"/>
      <c r="D14" s="121" t="n"/>
      <c r="E14" s="121" t="n"/>
      <c r="F14" s="122" t="n">
        <v>90</v>
      </c>
      <c r="G14" s="121" t="n"/>
      <c r="H14" s="121" t="n"/>
      <c r="I14" s="123">
        <f>IF(COUNT(G14:H14)=0,"",AVERAGE(G14:H14))</f>
        <v/>
      </c>
      <c r="J14" s="121" t="n"/>
      <c r="K14" s="121" t="n"/>
      <c r="L14" s="124">
        <f>IF(I14="","Not started",IF(I14&lt;=F14,"Pass","Fail"))</f>
        <v/>
      </c>
      <c r="M14" s="125">
        <f>IF(OR(E14="",J14=""),"",(J14+K14)/E14)</f>
        <v/>
      </c>
      <c r="N14" s="120" t="n"/>
      <c r="O14" s="126" t="n"/>
    </row>
    <row r="15" ht="21" customHeight="1">
      <c r="A15" s="119" t="inlineStr">
        <is>
          <t>DOC-D1</t>
        </is>
      </c>
      <c r="B15" s="33" t="inlineStr">
        <is>
          <t>8 – 32 MB</t>
        </is>
      </c>
      <c r="C15" s="120" t="n"/>
      <c r="D15" s="121" t="n"/>
      <c r="E15" s="121" t="n"/>
      <c r="F15" s="122" t="n">
        <v>300</v>
      </c>
      <c r="G15" s="121" t="n"/>
      <c r="H15" s="121" t="n"/>
      <c r="I15" s="123">
        <f>IF(COUNT(G15:H15)=0,"",AVERAGE(G15:H15))</f>
        <v/>
      </c>
      <c r="J15" s="121" t="n"/>
      <c r="K15" s="121" t="n"/>
      <c r="L15" s="124">
        <f>IF(I15="","Not started",IF(I15&lt;=F15,"Pass","Fail"))</f>
        <v/>
      </c>
      <c r="M15" s="125">
        <f>IF(OR(E15="",J15=""),"",(J15+K15)/E15)</f>
        <v/>
      </c>
      <c r="N15" s="120" t="n"/>
      <c r="O15" s="126" t="n"/>
    </row>
    <row r="16" ht="21" customHeight="1">
      <c r="A16" s="119" t="inlineStr">
        <is>
          <t>DOC-D2</t>
        </is>
      </c>
      <c r="B16" s="33" t="inlineStr">
        <is>
          <t>8 – 32 MB</t>
        </is>
      </c>
      <c r="C16" s="120" t="n"/>
      <c r="D16" s="121" t="n"/>
      <c r="E16" s="121" t="n"/>
      <c r="F16" s="122" t="n">
        <v>300</v>
      </c>
      <c r="G16" s="121" t="n"/>
      <c r="H16" s="121" t="n"/>
      <c r="I16" s="123">
        <f>IF(COUNT(G16:H16)=0,"",AVERAGE(G16:H16))</f>
        <v/>
      </c>
      <c r="J16" s="121" t="n"/>
      <c r="K16" s="121" t="n"/>
      <c r="L16" s="124">
        <f>IF(I16="","Not started",IF(I16&lt;=F16,"Pass","Fail"))</f>
        <v/>
      </c>
      <c r="M16" s="125">
        <f>IF(OR(E16="",J16=""),"",(J16+K16)/E16)</f>
        <v/>
      </c>
      <c r="N16" s="120" t="n"/>
      <c r="O16" s="126" t="n"/>
    </row>
    <row r="17" ht="21" customHeight="1">
      <c r="A17" s="119" t="inlineStr">
        <is>
          <t>DOC-D3</t>
        </is>
      </c>
      <c r="B17" s="33" t="inlineStr">
        <is>
          <t>8 – 32 MB</t>
        </is>
      </c>
      <c r="C17" s="120" t="n"/>
      <c r="D17" s="121" t="n"/>
      <c r="E17" s="121" t="n"/>
      <c r="F17" s="122" t="n">
        <v>300</v>
      </c>
      <c r="G17" s="121" t="n"/>
      <c r="H17" s="121" t="n"/>
      <c r="I17" s="123">
        <f>IF(COUNT(G17:H17)=0,"",AVERAGE(G17:H17))</f>
        <v/>
      </c>
      <c r="J17" s="121" t="n"/>
      <c r="K17" s="121" t="n"/>
      <c r="L17" s="124">
        <f>IF(I17="","Not started",IF(I17&lt;=F17,"Pass","Fail"))</f>
        <v/>
      </c>
      <c r="M17" s="125">
        <f>IF(OR(E17="",J17=""),"",(J17+K17)/E17)</f>
        <v/>
      </c>
      <c r="N17" s="120" t="n"/>
      <c r="O17" s="126" t="n"/>
    </row>
    <row r="18" ht="21" customHeight="1">
      <c r="A18" s="119" t="inlineStr">
        <is>
          <t>DOC-E1</t>
        </is>
      </c>
      <c r="B18" s="33" t="inlineStr">
        <is>
          <t>32 MB +</t>
        </is>
      </c>
      <c r="C18" s="120" t="n"/>
      <c r="D18" s="121" t="n"/>
      <c r="E18" s="121" t="n"/>
      <c r="F18" s="122" t="n">
        <v>600</v>
      </c>
      <c r="G18" s="121" t="n"/>
      <c r="H18" s="121" t="n"/>
      <c r="I18" s="123">
        <f>IF(COUNT(G18:H18)=0,"",AVERAGE(G18:H18))</f>
        <v/>
      </c>
      <c r="J18" s="121" t="n"/>
      <c r="K18" s="121" t="n"/>
      <c r="L18" s="124">
        <f>IF(I18="","Not started",IF(I18&lt;=F18,"Pass","Fail"))</f>
        <v/>
      </c>
      <c r="M18" s="125">
        <f>IF(OR(E18="",J18=""),"",(J18+K18)/E18)</f>
        <v/>
      </c>
      <c r="N18" s="120" t="n"/>
      <c r="O18" s="126" t="n"/>
    </row>
    <row r="19" ht="21" customHeight="1">
      <c r="A19" s="119" t="inlineStr">
        <is>
          <t>DOC-E2</t>
        </is>
      </c>
      <c r="B19" s="33" t="inlineStr">
        <is>
          <t>32 MB +</t>
        </is>
      </c>
      <c r="C19" s="120" t="n"/>
      <c r="D19" s="121" t="n"/>
      <c r="E19" s="121" t="n"/>
      <c r="F19" s="122" t="n">
        <v>600</v>
      </c>
      <c r="G19" s="121" t="n"/>
      <c r="H19" s="121" t="n"/>
      <c r="I19" s="123">
        <f>IF(COUNT(G19:H19)=0,"",AVERAGE(G19:H19))</f>
        <v/>
      </c>
      <c r="J19" s="121" t="n"/>
      <c r="K19" s="121" t="n"/>
      <c r="L19" s="124">
        <f>IF(I19="","Not started",IF(I19&lt;=F19,"Pass","Fail"))</f>
        <v/>
      </c>
      <c r="M19" s="125">
        <f>IF(OR(E19="",J19=""),"",(J19+K19)/E19)</f>
        <v/>
      </c>
      <c r="N19" s="120" t="n"/>
      <c r="O19" s="126" t="n"/>
    </row>
    <row r="20" ht="21" customHeight="1">
      <c r="A20" s="119" t="inlineStr">
        <is>
          <t>DOC-E3</t>
        </is>
      </c>
      <c r="B20" s="33" t="inlineStr">
        <is>
          <t>32 MB +</t>
        </is>
      </c>
      <c r="C20" s="120" t="n"/>
      <c r="D20" s="121" t="n"/>
      <c r="E20" s="121" t="n"/>
      <c r="F20" s="122" t="n">
        <v>600</v>
      </c>
      <c r="G20" s="121" t="n"/>
      <c r="H20" s="121" t="n"/>
      <c r="I20" s="123">
        <f>IF(COUNT(G20:H20)=0,"",AVERAGE(G20:H20))</f>
        <v/>
      </c>
      <c r="J20" s="121" t="n"/>
      <c r="K20" s="121" t="n"/>
      <c r="L20" s="124">
        <f>IF(I20="","Not started",IF(I20&lt;=F20,"Pass","Fail"))</f>
        <v/>
      </c>
      <c r="M20" s="125">
        <f>IF(OR(E20="",J20=""),"",(J20+K20)/E20)</f>
        <v/>
      </c>
      <c r="N20" s="120" t="n"/>
      <c r="O20" s="126" t="n"/>
    </row>
    <row r="22" ht="44" customHeight="1">
      <c r="A22" s="71" t="inlineStr">
        <is>
          <t>Today's live figures get FASTER as files get bigger — 3.9 s under 0.5 MB but 2.4 s above 32 MB. That is not credible; understand why before treating any of it as a baseline. Tokens per page is the column to watch: if it is flat across every band, the counter is still a placeholder.</t>
        </is>
      </c>
    </row>
  </sheetData>
  <autoFilter ref="A5:O20"/>
  <mergeCells count="1">
    <mergeCell ref="A22:I22"/>
  </mergeCells>
  <conditionalFormatting sqref="L6:L20">
    <cfRule type="cellIs" priority="1" operator="equal" dxfId="0">
      <formula>"Pass"</formula>
    </cfRule>
    <cfRule type="cellIs" priority="2" operator="equal" dxfId="1">
      <formula>"Fail"</formula>
    </cfRule>
    <cfRule type="cellIs" priority="3" operator="equal" dxfId="2">
      <formula>"Blocked"</formula>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12.xml><?xml version="1.0" encoding="utf-8"?>
<worksheet xmlns="http://schemas.openxmlformats.org/spreadsheetml/2006/main">
  <sheetPr>
    <tabColor rgb="008A5A12"/>
    <outlinePr summaryBelow="1" summaryRight="1"/>
    <pageSetUpPr fitToPage="1"/>
  </sheetPr>
  <dimension ref="A1:P19"/>
  <sheetViews>
    <sheetView showGridLines="0" workbookViewId="0">
      <pane ySplit="5" topLeftCell="A6" activePane="bottomLeft" state="frozen"/>
      <selection pane="bottomLeft" activeCell="A1" sqref="A1"/>
    </sheetView>
  </sheetViews>
  <sheetFormatPr baseColWidth="8" defaultRowHeight="15"/>
  <cols>
    <col width="10" customWidth="1" min="1" max="1"/>
    <col width="13" customWidth="1" min="2" max="2"/>
    <col width="26" customWidth="1" min="3" max="3"/>
    <col width="10" customWidth="1" min="4" max="4"/>
    <col width="9" customWidth="1" min="5" max="5"/>
    <col width="9" customWidth="1" min="6" max="6"/>
    <col width="10" customWidth="1" min="7" max="7"/>
    <col width="10" customWidth="1" min="8" max="8"/>
    <col width="11" customWidth="1" min="9" max="9"/>
    <col width="10" customWidth="1" min="10" max="10"/>
    <col width="10" customWidth="1" min="11" max="11"/>
    <col width="11" customWidth="1" min="12" max="12"/>
    <col width="12" customWidth="1" min="13" max="13"/>
    <col width="13" customWidth="1" min="14" max="14"/>
    <col width="12" customWidth="1" min="15" max="15"/>
    <col width="26" customWidth="1" min="16" max="16"/>
  </cols>
  <sheetData>
    <row r="1">
      <c r="A1" s="16" t="inlineStr">
        <is>
          <t>‹ Contents</t>
        </is>
      </c>
    </row>
    <row r="2" ht="26" customHeight="1">
      <c r="A2" s="1" t="inlineStr">
        <is>
          <t>Drawing processing — simple versus complex</t>
        </is>
      </c>
    </row>
    <row r="3">
      <c r="A3" s="2" t="inlineStr">
        <is>
          <t>Complexity is not file size. 40,000 entities in 2 MB is harder than a 30 MB scan.</t>
        </is>
      </c>
    </row>
    <row r="5" ht="32" customHeight="1">
      <c r="A5" s="31" t="inlineStr">
        <is>
          <t>ID</t>
        </is>
      </c>
      <c r="B5" s="31" t="inlineStr">
        <is>
          <t>Complexity</t>
        </is>
      </c>
      <c r="C5" s="31" t="inlineStr">
        <is>
          <t>Drawing used</t>
        </is>
      </c>
      <c r="D5" s="31" t="inlineStr">
        <is>
          <t>Format</t>
        </is>
      </c>
      <c r="E5" s="31" t="inlineStr">
        <is>
          <t>Sheets</t>
        </is>
      </c>
      <c r="F5" s="31" t="inlineStr">
        <is>
          <t>Layers</t>
        </is>
      </c>
      <c r="G5" s="31" t="inlineStr">
        <is>
          <t>Entities</t>
        </is>
      </c>
      <c r="H5" s="31" t="inlineStr">
        <is>
          <t>Size MB</t>
        </is>
      </c>
      <c r="I5" s="31" t="inlineStr">
        <is>
          <t>Target sec</t>
        </is>
      </c>
      <c r="J5" s="31" t="inlineStr">
        <is>
          <t>Run 1</t>
        </is>
      </c>
      <c r="K5" s="31" t="inlineStr">
        <is>
          <t>Run 2</t>
        </is>
      </c>
      <c r="L5" s="31" t="inlineStr">
        <is>
          <t>Avg sec</t>
        </is>
      </c>
      <c r="M5" s="31" t="inlineStr">
        <is>
          <t>Result</t>
        </is>
      </c>
      <c r="N5" s="31" t="inlineStr">
        <is>
          <t>Tokens</t>
        </is>
      </c>
      <c r="O5" s="31" t="inlineStr">
        <is>
          <t>Tester</t>
        </is>
      </c>
      <c r="P5" s="31" t="inlineStr">
        <is>
          <t>Notes</t>
        </is>
      </c>
    </row>
    <row r="6" ht="21" customHeight="1">
      <c r="A6" s="119" t="inlineStr">
        <is>
          <t>DRW-SIM1</t>
        </is>
      </c>
      <c r="B6" s="33" t="inlineStr">
        <is>
          <t>Simple</t>
        </is>
      </c>
      <c r="C6" s="120" t="n"/>
      <c r="D6" s="121" t="n"/>
      <c r="E6" s="121" t="n"/>
      <c r="F6" s="121" t="n"/>
      <c r="G6" s="121" t="n"/>
      <c r="H6" s="121" t="n"/>
      <c r="I6" s="122" t="n">
        <v>30</v>
      </c>
      <c r="J6" s="121" t="n"/>
      <c r="K6" s="121" t="n"/>
      <c r="L6" s="123">
        <f>IF(COUNT(J6:K6)=0,"",AVERAGE(J6:K6))</f>
        <v/>
      </c>
      <c r="M6" s="124">
        <f>IF(L6="","Not started",IF(L6&lt;=I6,"Pass","Fail"))</f>
        <v/>
      </c>
      <c r="N6" s="121" t="n"/>
      <c r="O6" s="120" t="n"/>
      <c r="P6" s="34" t="inlineStr">
        <is>
          <t>Single sheet, one discipline, under 500 entities</t>
        </is>
      </c>
    </row>
    <row r="7" ht="21" customHeight="1">
      <c r="A7" s="119" t="inlineStr">
        <is>
          <t>DRW-SIM2</t>
        </is>
      </c>
      <c r="B7" s="33" t="inlineStr">
        <is>
          <t>Simple</t>
        </is>
      </c>
      <c r="C7" s="120" t="n"/>
      <c r="D7" s="121" t="n"/>
      <c r="E7" s="121" t="n"/>
      <c r="F7" s="121" t="n"/>
      <c r="G7" s="121" t="n"/>
      <c r="H7" s="121" t="n"/>
      <c r="I7" s="122" t="n">
        <v>30</v>
      </c>
      <c r="J7" s="121" t="n"/>
      <c r="K7" s="121" t="n"/>
      <c r="L7" s="123">
        <f>IF(COUNT(J7:K7)=0,"",AVERAGE(J7:K7))</f>
        <v/>
      </c>
      <c r="M7" s="124">
        <f>IF(L7="","Not started",IF(L7&lt;=I7,"Pass","Fail"))</f>
        <v/>
      </c>
      <c r="N7" s="121" t="n"/>
      <c r="O7" s="120" t="n"/>
      <c r="P7" s="127" t="n"/>
    </row>
    <row r="8" ht="21" customHeight="1">
      <c r="A8" s="119" t="inlineStr">
        <is>
          <t>DRW-SIM3</t>
        </is>
      </c>
      <c r="B8" s="33" t="inlineStr">
        <is>
          <t>Simple</t>
        </is>
      </c>
      <c r="C8" s="120" t="n"/>
      <c r="D8" s="121" t="n"/>
      <c r="E8" s="121" t="n"/>
      <c r="F8" s="121" t="n"/>
      <c r="G8" s="121" t="n"/>
      <c r="H8" s="121" t="n"/>
      <c r="I8" s="122" t="n">
        <v>30</v>
      </c>
      <c r="J8" s="121" t="n"/>
      <c r="K8" s="121" t="n"/>
      <c r="L8" s="123">
        <f>IF(COUNT(J8:K8)=0,"",AVERAGE(J8:K8))</f>
        <v/>
      </c>
      <c r="M8" s="124">
        <f>IF(L8="","Not started",IF(L8&lt;=I8,"Pass","Fail"))</f>
        <v/>
      </c>
      <c r="N8" s="121" t="n"/>
      <c r="O8" s="120" t="n"/>
      <c r="P8" s="127" t="n"/>
    </row>
    <row r="9" ht="21" customHeight="1">
      <c r="A9" s="119" t="inlineStr">
        <is>
          <t>DRW-MED1</t>
        </is>
      </c>
      <c r="B9" s="33" t="inlineStr">
        <is>
          <t>Medium</t>
        </is>
      </c>
      <c r="C9" s="120" t="n"/>
      <c r="D9" s="121" t="n"/>
      <c r="E9" s="121" t="n"/>
      <c r="F9" s="121" t="n"/>
      <c r="G9" s="121" t="n"/>
      <c r="H9" s="121" t="n"/>
      <c r="I9" s="122" t="n">
        <v>120</v>
      </c>
      <c r="J9" s="121" t="n"/>
      <c r="K9" s="121" t="n"/>
      <c r="L9" s="123">
        <f>IF(COUNT(J9:K9)=0,"",AVERAGE(J9:K9))</f>
        <v/>
      </c>
      <c r="M9" s="124">
        <f>IF(L9="","Not started",IF(L9&lt;=I9,"Pass","Fail"))</f>
        <v/>
      </c>
      <c r="N9" s="121" t="n"/>
      <c r="O9" s="120" t="n"/>
      <c r="P9" s="34" t="inlineStr">
        <is>
          <t>2–5 sheets, 2–3 disciplines, 500–5,000 entities</t>
        </is>
      </c>
    </row>
    <row r="10" ht="21" customHeight="1">
      <c r="A10" s="119" t="inlineStr">
        <is>
          <t>DRW-MED2</t>
        </is>
      </c>
      <c r="B10" s="33" t="inlineStr">
        <is>
          <t>Medium</t>
        </is>
      </c>
      <c r="C10" s="120" t="n"/>
      <c r="D10" s="121" t="n"/>
      <c r="E10" s="121" t="n"/>
      <c r="F10" s="121" t="n"/>
      <c r="G10" s="121" t="n"/>
      <c r="H10" s="121" t="n"/>
      <c r="I10" s="122" t="n">
        <v>120</v>
      </c>
      <c r="J10" s="121" t="n"/>
      <c r="K10" s="121" t="n"/>
      <c r="L10" s="123">
        <f>IF(COUNT(J10:K10)=0,"",AVERAGE(J10:K10))</f>
        <v/>
      </c>
      <c r="M10" s="124">
        <f>IF(L10="","Not started",IF(L10&lt;=I10,"Pass","Fail"))</f>
        <v/>
      </c>
      <c r="N10" s="121" t="n"/>
      <c r="O10" s="120" t="n"/>
      <c r="P10" s="127" t="n"/>
    </row>
    <row r="11" ht="21" customHeight="1">
      <c r="A11" s="119" t="inlineStr">
        <is>
          <t>DRW-MED3</t>
        </is>
      </c>
      <c r="B11" s="33" t="inlineStr">
        <is>
          <t>Medium</t>
        </is>
      </c>
      <c r="C11" s="120" t="n"/>
      <c r="D11" s="121" t="n"/>
      <c r="E11" s="121" t="n"/>
      <c r="F11" s="121" t="n"/>
      <c r="G11" s="121" t="n"/>
      <c r="H11" s="121" t="n"/>
      <c r="I11" s="122" t="n">
        <v>120</v>
      </c>
      <c r="J11" s="121" t="n"/>
      <c r="K11" s="121" t="n"/>
      <c r="L11" s="123">
        <f>IF(COUNT(J11:K11)=0,"",AVERAGE(J11:K11))</f>
        <v/>
      </c>
      <c r="M11" s="124">
        <f>IF(L11="","Not started",IF(L11&lt;=I11,"Pass","Fail"))</f>
        <v/>
      </c>
      <c r="N11" s="121" t="n"/>
      <c r="O11" s="120" t="n"/>
      <c r="P11" s="127" t="n"/>
    </row>
    <row r="12" ht="21" customHeight="1">
      <c r="A12" s="119" t="inlineStr">
        <is>
          <t>DRW-CPX1</t>
        </is>
      </c>
      <c r="B12" s="33" t="inlineStr">
        <is>
          <t>Complex</t>
        </is>
      </c>
      <c r="C12" s="120" t="n"/>
      <c r="D12" s="121" t="n"/>
      <c r="E12" s="121" t="n"/>
      <c r="F12" s="121" t="n"/>
      <c r="G12" s="121" t="n"/>
      <c r="H12" s="121" t="n"/>
      <c r="I12" s="122" t="n">
        <v>600</v>
      </c>
      <c r="J12" s="121" t="n"/>
      <c r="K12" s="121" t="n"/>
      <c r="L12" s="123">
        <f>IF(COUNT(J12:K12)=0,"",AVERAGE(J12:K12))</f>
        <v/>
      </c>
      <c r="M12" s="124">
        <f>IF(L12="","Not started",IF(L12&lt;=I12,"Pass","Fail"))</f>
        <v/>
      </c>
      <c r="N12" s="121" t="n"/>
      <c r="O12" s="120" t="n"/>
      <c r="P12" s="34" t="inlineStr">
        <is>
          <t>6+ sheets, multi-discipline, over 5,000 entities</t>
        </is>
      </c>
    </row>
    <row r="13" ht="21" customHeight="1">
      <c r="A13" s="119" t="inlineStr">
        <is>
          <t>DRW-CPX2</t>
        </is>
      </c>
      <c r="B13" s="33" t="inlineStr">
        <is>
          <t>Complex</t>
        </is>
      </c>
      <c r="C13" s="120" t="n"/>
      <c r="D13" s="121" t="n"/>
      <c r="E13" s="121" t="n"/>
      <c r="F13" s="121" t="n"/>
      <c r="G13" s="121" t="n"/>
      <c r="H13" s="121" t="n"/>
      <c r="I13" s="122" t="n">
        <v>600</v>
      </c>
      <c r="J13" s="121" t="n"/>
      <c r="K13" s="121" t="n"/>
      <c r="L13" s="123">
        <f>IF(COUNT(J13:K13)=0,"",AVERAGE(J13:K13))</f>
        <v/>
      </c>
      <c r="M13" s="124">
        <f>IF(L13="","Not started",IF(L13&lt;=I13,"Pass","Fail"))</f>
        <v/>
      </c>
      <c r="N13" s="121" t="n"/>
      <c r="O13" s="120" t="n"/>
      <c r="P13" s="127" t="n"/>
    </row>
    <row r="14" ht="21" customHeight="1">
      <c r="A14" s="119" t="inlineStr">
        <is>
          <t>DRW-CPX3</t>
        </is>
      </c>
      <c r="B14" s="33" t="inlineStr">
        <is>
          <t>Complex</t>
        </is>
      </c>
      <c r="C14" s="120" t="n"/>
      <c r="D14" s="121" t="n"/>
      <c r="E14" s="121" t="n"/>
      <c r="F14" s="121" t="n"/>
      <c r="G14" s="121" t="n"/>
      <c r="H14" s="121" t="n"/>
      <c r="I14" s="122" t="n">
        <v>600</v>
      </c>
      <c r="J14" s="121" t="n"/>
      <c r="K14" s="121" t="n"/>
      <c r="L14" s="123">
        <f>IF(COUNT(J14:K14)=0,"",AVERAGE(J14:K14))</f>
        <v/>
      </c>
      <c r="M14" s="124">
        <f>IF(L14="","Not started",IF(L14&lt;=I14,"Pass","Fail"))</f>
        <v/>
      </c>
      <c r="N14" s="121" t="n"/>
      <c r="O14" s="120" t="n"/>
      <c r="P14" s="127" t="n"/>
    </row>
    <row r="15" ht="21" customHeight="1">
      <c r="A15" s="119" t="inlineStr">
        <is>
          <t>DRW-SCN1</t>
        </is>
      </c>
      <c r="B15" s="33" t="inlineStr">
        <is>
          <t>Scanned</t>
        </is>
      </c>
      <c r="C15" s="120" t="n"/>
      <c r="D15" s="121" t="n"/>
      <c r="E15" s="121" t="n"/>
      <c r="F15" s="121" t="n"/>
      <c r="G15" s="121" t="n"/>
      <c r="H15" s="121" t="n"/>
      <c r="I15" s="122" t="n">
        <v>300</v>
      </c>
      <c r="J15" s="121" t="n"/>
      <c r="K15" s="121" t="n"/>
      <c r="L15" s="123">
        <f>IF(COUNT(J15:K15)=0,"",AVERAGE(J15:K15))</f>
        <v/>
      </c>
      <c r="M15" s="124">
        <f>IF(L15="","Not started",IF(L15&lt;=I15,"Pass","Fail"))</f>
        <v/>
      </c>
      <c r="N15" s="121" t="n"/>
      <c r="O15" s="120" t="n"/>
      <c r="P15" s="34" t="inlineStr">
        <is>
          <t>Raster PDF with no vector data at all</t>
        </is>
      </c>
    </row>
    <row r="16" ht="21" customHeight="1">
      <c r="A16" s="119" t="inlineStr">
        <is>
          <t>DRW-SCN2</t>
        </is>
      </c>
      <c r="B16" s="33" t="inlineStr">
        <is>
          <t>Scanned</t>
        </is>
      </c>
      <c r="C16" s="120" t="n"/>
      <c r="D16" s="121" t="n"/>
      <c r="E16" s="121" t="n"/>
      <c r="F16" s="121" t="n"/>
      <c r="G16" s="121" t="n"/>
      <c r="H16" s="121" t="n"/>
      <c r="I16" s="122" t="n">
        <v>300</v>
      </c>
      <c r="J16" s="121" t="n"/>
      <c r="K16" s="121" t="n"/>
      <c r="L16" s="123">
        <f>IF(COUNT(J16:K16)=0,"",AVERAGE(J16:K16))</f>
        <v/>
      </c>
      <c r="M16" s="124">
        <f>IF(L16="","Not started",IF(L16&lt;=I16,"Pass","Fail"))</f>
        <v/>
      </c>
      <c r="N16" s="121" t="n"/>
      <c r="O16" s="120" t="n"/>
      <c r="P16" s="127" t="n"/>
    </row>
    <row r="17" ht="21" customHeight="1">
      <c r="A17" s="119" t="inlineStr">
        <is>
          <t>DRW-SCN3</t>
        </is>
      </c>
      <c r="B17" s="33" t="inlineStr">
        <is>
          <t>Scanned</t>
        </is>
      </c>
      <c r="C17" s="120" t="n"/>
      <c r="D17" s="121" t="n"/>
      <c r="E17" s="121" t="n"/>
      <c r="F17" s="121" t="n"/>
      <c r="G17" s="121" t="n"/>
      <c r="H17" s="121" t="n"/>
      <c r="I17" s="122" t="n">
        <v>300</v>
      </c>
      <c r="J17" s="121" t="n"/>
      <c r="K17" s="121" t="n"/>
      <c r="L17" s="123">
        <f>IF(COUNT(J17:K17)=0,"",AVERAGE(J17:K17))</f>
        <v/>
      </c>
      <c r="M17" s="124">
        <f>IF(L17="","Not started",IF(L17&lt;=I17,"Pass","Fail"))</f>
        <v/>
      </c>
      <c r="N17" s="121" t="n"/>
      <c r="O17" s="120" t="n"/>
      <c r="P17" s="127" t="n"/>
    </row>
    <row r="19" ht="34" customHeight="1">
      <c r="A19" s="71" t="inlineStr">
        <is>
          <t>Record entities and layers for every drawing — they turn "it was slow" into "it was slow at 40,000 entities". The live system returns no entity or layer count at all today, so read them from the CAD file by hand.</t>
        </is>
      </c>
    </row>
  </sheetData>
  <autoFilter ref="A5:P17"/>
  <mergeCells count="1">
    <mergeCell ref="A19:I19"/>
  </mergeCells>
  <conditionalFormatting sqref="M6:M17">
    <cfRule type="cellIs" priority="1" operator="equal" dxfId="0">
      <formula>"Pass"</formula>
    </cfRule>
    <cfRule type="cellIs" priority="2" operator="equal" dxfId="1">
      <formula>"Fail"</formula>
    </cfRule>
    <cfRule type="cellIs" priority="3" operator="equal" dxfId="2">
      <formula>"Blocked"</formula>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13.xml><?xml version="1.0" encoding="utf-8"?>
<worksheet xmlns="http://schemas.openxmlformats.org/spreadsheetml/2006/main">
  <sheetPr>
    <tabColor rgb="008A5A12"/>
    <outlinePr summaryBelow="1" summaryRight="1"/>
    <pageSetUpPr fitToPage="1"/>
  </sheetPr>
  <dimension ref="A1:M25"/>
  <sheetViews>
    <sheetView showGridLines="0" workbookViewId="0">
      <pane ySplit="5" topLeftCell="A6" activePane="bottomLeft" state="frozen"/>
      <selection pane="bottomLeft" activeCell="A1" sqref="A1"/>
    </sheetView>
  </sheetViews>
  <sheetFormatPr baseColWidth="8" defaultRowHeight="15"/>
  <cols>
    <col width="9" customWidth="1" min="1" max="1"/>
    <col width="25" customWidth="1" min="2" max="2"/>
    <col width="38" customWidth="1" min="3" max="3"/>
    <col width="9" customWidth="1" min="4" max="4"/>
    <col width="13" customWidth="1" min="5" max="5"/>
    <col width="13" customWidth="1" min="6" max="6"/>
    <col width="12" customWidth="1" min="7" max="7"/>
    <col width="11" customWidth="1" min="8" max="8"/>
    <col width="12" customWidth="1" min="9" max="9"/>
    <col width="13" customWidth="1" min="10" max="10"/>
    <col width="12" customWidth="1" min="11" max="11"/>
    <col width="12" customWidth="1" min="12" max="12"/>
    <col width="24" customWidth="1" min="13" max="13"/>
  </cols>
  <sheetData>
    <row r="1">
      <c r="A1" s="16" t="inlineStr">
        <is>
          <t>‹ Contents</t>
        </is>
      </c>
    </row>
    <row r="2" ht="26" customHeight="1">
      <c r="A2" s="1" t="inlineStr">
        <is>
          <t>Token usage per step</t>
        </is>
      </c>
    </row>
    <row r="3">
      <c r="A3" s="2" t="inlineStr">
        <is>
          <t>Run each step five times on the same project, then record the average.</t>
        </is>
      </c>
    </row>
    <row r="5" ht="32" customHeight="1">
      <c r="A5" s="31" t="inlineStr">
        <is>
          <t>ID</t>
        </is>
      </c>
      <c r="B5" s="31" t="inlineStr">
        <is>
          <t>Step</t>
        </is>
      </c>
      <c r="C5" s="31" t="inlineStr">
        <is>
          <t>What it does</t>
        </is>
      </c>
      <c r="D5" s="31" t="inlineStr">
        <is>
          <t>Runs</t>
        </is>
      </c>
      <c r="E5" s="31" t="inlineStr">
        <is>
          <t>Avg in</t>
        </is>
      </c>
      <c r="F5" s="31" t="inlineStr">
        <is>
          <t>Avg out</t>
        </is>
      </c>
      <c r="G5" s="31" t="inlineStr">
        <is>
          <t>Avg total</t>
        </is>
      </c>
      <c r="H5" s="31" t="inlineStr">
        <is>
          <t>Target</t>
        </is>
      </c>
      <c r="I5" s="31" t="inlineStr">
        <is>
          <t>Result</t>
        </is>
      </c>
      <c r="J5" s="31" t="inlineStr">
        <is>
          <t>Cost / run</t>
        </is>
      </c>
      <c r="K5" s="31" t="inlineStr">
        <is>
          <t>Worst run</t>
        </is>
      </c>
      <c r="L5" s="31" t="inlineStr">
        <is>
          <t>Tester</t>
        </is>
      </c>
      <c r="M5" s="31" t="inlineStr">
        <is>
          <t>Notes</t>
        </is>
      </c>
    </row>
    <row r="6" ht="21" customHeight="1">
      <c r="A6" s="119" t="inlineStr">
        <is>
          <t>TOK-01</t>
        </is>
      </c>
      <c r="B6" s="33" t="inlineStr">
        <is>
          <t>Reading documents</t>
        </is>
      </c>
      <c r="C6" s="34" t="inlineStr">
        <is>
          <t>Sorts and splits the uploaded tender pack</t>
        </is>
      </c>
      <c r="D6" s="121" t="n"/>
      <c r="E6" s="121" t="n"/>
      <c r="F6" s="121" t="n"/>
      <c r="G6" s="125">
        <f>IF(COUNT(E6:F6)=0,"",E6+F6)</f>
        <v/>
      </c>
      <c r="H6" s="122" t="n">
        <v>4000</v>
      </c>
      <c r="I6" s="124">
        <f>IF(G6="","Not started",IF(G6&lt;=H6,"Pass","Fail"))</f>
        <v/>
      </c>
      <c r="J6" s="128">
        <f>IF(G6="","",G6/1000*0.1290)</f>
        <v/>
      </c>
      <c r="K6" s="121" t="n"/>
      <c r="L6" s="121" t="n"/>
      <c r="M6" s="126" t="n"/>
    </row>
    <row r="7" ht="21" customHeight="1">
      <c r="A7" s="119" t="inlineStr">
        <is>
          <t>TOK-02</t>
        </is>
      </c>
      <c r="B7" s="33" t="inlineStr">
        <is>
          <t>Tender reading</t>
        </is>
      </c>
      <c r="C7" s="34" t="inlineStr">
        <is>
          <t>Pulls summary, dates and requirements</t>
        </is>
      </c>
      <c r="D7" s="121" t="n"/>
      <c r="E7" s="121" t="n"/>
      <c r="F7" s="121" t="n"/>
      <c r="G7" s="125">
        <f>IF(COUNT(E7:F7)=0,"",E7+F7)</f>
        <v/>
      </c>
      <c r="H7" s="122" t="n">
        <v>8000</v>
      </c>
      <c r="I7" s="124">
        <f>IF(G7="","Not started",IF(G7&lt;=H7,"Pass","Fail"))</f>
        <v/>
      </c>
      <c r="J7" s="128">
        <f>IF(G7="","",G7/1000*0.1290)</f>
        <v/>
      </c>
      <c r="K7" s="121" t="n"/>
      <c r="L7" s="121" t="n"/>
      <c r="M7" s="126" t="n"/>
    </row>
    <row r="8" ht="21" customHeight="1">
      <c r="A8" s="119" t="inlineStr">
        <is>
          <t>TOK-03</t>
        </is>
      </c>
      <c r="B8" s="33" t="inlineStr">
        <is>
          <t>Bid / no-bid decision</t>
        </is>
      </c>
      <c r="C8" s="34" t="inlineStr">
        <is>
          <t>Recommends whether to pursue</t>
        </is>
      </c>
      <c r="D8" s="121" t="n"/>
      <c r="E8" s="121" t="n"/>
      <c r="F8" s="121" t="n"/>
      <c r="G8" s="125">
        <f>IF(COUNT(E8:F8)=0,"",E8+F8)</f>
        <v/>
      </c>
      <c r="H8" s="122" t="n">
        <v>3000</v>
      </c>
      <c r="I8" s="124">
        <f>IF(G8="","Not started",IF(G8&lt;=H8,"Pass","Fail"))</f>
        <v/>
      </c>
      <c r="J8" s="128">
        <f>IF(G8="","",G8/1000*0.1290)</f>
        <v/>
      </c>
      <c r="K8" s="121" t="n"/>
      <c r="L8" s="121" t="n"/>
      <c r="M8" s="126" t="n"/>
    </row>
    <row r="9" ht="21" customHeight="1">
      <c r="A9" s="119" t="inlineStr">
        <is>
          <t>TOK-04</t>
        </is>
      </c>
      <c r="B9" s="33" t="inlineStr">
        <is>
          <t>Specification reading</t>
        </is>
      </c>
      <c r="C9" s="34" t="inlineStr">
        <is>
          <t>Extracts clauses from the specification</t>
        </is>
      </c>
      <c r="D9" s="121" t="n"/>
      <c r="E9" s="121" t="n"/>
      <c r="F9" s="121" t="n"/>
      <c r="G9" s="125">
        <f>IF(COUNT(E9:F9)=0,"",E9+F9)</f>
        <v/>
      </c>
      <c r="H9" s="122" t="n">
        <v>8000</v>
      </c>
      <c r="I9" s="124">
        <f>IF(G9="","Not started",IF(G9&lt;=H9,"Pass","Fail"))</f>
        <v/>
      </c>
      <c r="J9" s="128">
        <f>IF(G9="","",G9/1000*0.1290)</f>
        <v/>
      </c>
      <c r="K9" s="121" t="n"/>
      <c r="L9" s="121" t="n"/>
      <c r="M9" s="126" t="n"/>
    </row>
    <row r="10" ht="21" customHeight="1">
      <c r="A10" s="119" t="inlineStr">
        <is>
          <t>TOK-05</t>
        </is>
      </c>
      <c r="B10" s="33" t="inlineStr">
        <is>
          <t>Drawing indexing</t>
        </is>
      </c>
      <c r="C10" s="34" t="inlineStr">
        <is>
          <t>Catalogues each drawing sheet</t>
        </is>
      </c>
      <c r="D10" s="121" t="n"/>
      <c r="E10" s="121" t="n"/>
      <c r="F10" s="121" t="n"/>
      <c r="G10" s="125">
        <f>IF(COUNT(E10:F10)=0,"",E10+F10)</f>
        <v/>
      </c>
      <c r="H10" s="122" t="n">
        <v>3000</v>
      </c>
      <c r="I10" s="124">
        <f>IF(G10="","Not started",IF(G10&lt;=H10,"Pass","Fail"))</f>
        <v/>
      </c>
      <c r="J10" s="128">
        <f>IF(G10="","",G10/1000*0.1290)</f>
        <v/>
      </c>
      <c r="K10" s="121" t="n"/>
      <c r="L10" s="121" t="n"/>
      <c r="M10" s="126" t="n"/>
    </row>
    <row r="11" ht="21" customHeight="1">
      <c r="A11" s="119" t="inlineStr">
        <is>
          <t>TOK-06</t>
        </is>
      </c>
      <c r="B11" s="33" t="inlineStr">
        <is>
          <t>Drawing take-off</t>
        </is>
      </c>
      <c r="C11" s="34" t="inlineStr">
        <is>
          <t>Measures quantities off the drawings</t>
        </is>
      </c>
      <c r="D11" s="121" t="n"/>
      <c r="E11" s="121" t="n"/>
      <c r="F11" s="121" t="n"/>
      <c r="G11" s="125">
        <f>IF(COUNT(E11:F11)=0,"",E11+F11)</f>
        <v/>
      </c>
      <c r="H11" s="122" t="n">
        <v>12000</v>
      </c>
      <c r="I11" s="124">
        <f>IF(G11="","Not started",IF(G11&lt;=H11,"Pass","Fail"))</f>
        <v/>
      </c>
      <c r="J11" s="128">
        <f>IF(G11="","",G11/1000*0.1290)</f>
        <v/>
      </c>
      <c r="K11" s="121" t="n"/>
      <c r="L11" s="121" t="n"/>
      <c r="M11" s="126" t="n"/>
    </row>
    <row r="12" ht="21" customHeight="1">
      <c r="A12" s="119" t="inlineStr">
        <is>
          <t>TOK-07</t>
        </is>
      </c>
      <c r="B12" s="33" t="inlineStr">
        <is>
          <t>Bill of quantities</t>
        </is>
      </c>
      <c r="C12" s="34" t="inlineStr">
        <is>
          <t>Turns measurements into bill lines</t>
        </is>
      </c>
      <c r="D12" s="121" t="n"/>
      <c r="E12" s="121" t="n"/>
      <c r="F12" s="121" t="n"/>
      <c r="G12" s="125">
        <f>IF(COUNT(E12:F12)=0,"",E12+F12)</f>
        <v/>
      </c>
      <c r="H12" s="122" t="n">
        <v>6000</v>
      </c>
      <c r="I12" s="124">
        <f>IF(G12="","Not started",IF(G12&lt;=H12,"Pass","Fail"))</f>
        <v/>
      </c>
      <c r="J12" s="128">
        <f>IF(G12="","",G12/1000*0.1290)</f>
        <v/>
      </c>
      <c r="K12" s="121" t="n"/>
      <c r="L12" s="121" t="n"/>
      <c r="M12" s="126" t="n"/>
    </row>
    <row r="13" ht="21" customHeight="1">
      <c r="A13" s="119" t="inlineStr">
        <is>
          <t>TOK-08</t>
        </is>
      </c>
      <c r="B13" s="33" t="inlineStr">
        <is>
          <t>Pricing</t>
        </is>
      </c>
      <c r="C13" s="34" t="inlineStr">
        <is>
          <t>Applies rates to the bill lines</t>
        </is>
      </c>
      <c r="D13" s="121" t="n"/>
      <c r="E13" s="121" t="n"/>
      <c r="F13" s="121" t="n"/>
      <c r="G13" s="125">
        <f>IF(COUNT(E13:F13)=0,"",E13+F13)</f>
        <v/>
      </c>
      <c r="H13" s="122" t="n">
        <v>4000</v>
      </c>
      <c r="I13" s="124">
        <f>IF(G13="","Not started",IF(G13&lt;=H13,"Pass","Fail"))</f>
        <v/>
      </c>
      <c r="J13" s="128">
        <f>IF(G13="","",G13/1000*0.1290)</f>
        <v/>
      </c>
      <c r="K13" s="121" t="n"/>
      <c r="L13" s="121" t="n"/>
      <c r="M13" s="126" t="n"/>
    </row>
    <row r="14" ht="21" customHeight="1">
      <c r="A14" s="119" t="inlineStr">
        <is>
          <t>TOK-09</t>
        </is>
      </c>
      <c r="B14" s="33" t="inlineStr">
        <is>
          <t>Compliance checks</t>
        </is>
      </c>
      <c r="C14" s="34" t="inlineStr">
        <is>
          <t>Checks the bid against requirements</t>
        </is>
      </c>
      <c r="D14" s="121" t="n"/>
      <c r="E14" s="121" t="n"/>
      <c r="F14" s="121" t="n"/>
      <c r="G14" s="125">
        <f>IF(COUNT(E14:F14)=0,"",E14+F14)</f>
        <v/>
      </c>
      <c r="H14" s="122" t="n">
        <v>6000</v>
      </c>
      <c r="I14" s="124">
        <f>IF(G14="","Not started",IF(G14&lt;=H14,"Pass","Fail"))</f>
        <v/>
      </c>
      <c r="J14" s="128">
        <f>IF(G14="","",G14/1000*0.1290)</f>
        <v/>
      </c>
      <c r="K14" s="121" t="n"/>
      <c r="L14" s="121" t="n"/>
      <c r="M14" s="126" t="n"/>
    </row>
    <row r="15" ht="21" customHeight="1">
      <c r="A15" s="119" t="inlineStr">
        <is>
          <t>TOK-10</t>
        </is>
      </c>
      <c r="B15" s="33" t="inlineStr">
        <is>
          <t>Risk assessment</t>
        </is>
      </c>
      <c r="C15" s="34" t="inlineStr">
        <is>
          <t>Flags risks on the bid</t>
        </is>
      </c>
      <c r="D15" s="121" t="n"/>
      <c r="E15" s="121" t="n"/>
      <c r="F15" s="121" t="n"/>
      <c r="G15" s="125">
        <f>IF(COUNT(E15:F15)=0,"",E15+F15)</f>
        <v/>
      </c>
      <c r="H15" s="122" t="n">
        <v>4000</v>
      </c>
      <c r="I15" s="124">
        <f>IF(G15="","Not started",IF(G15&lt;=H15,"Pass","Fail"))</f>
        <v/>
      </c>
      <c r="J15" s="128">
        <f>IF(G15="","",G15/1000*0.1290)</f>
        <v/>
      </c>
      <c r="K15" s="121" t="n"/>
      <c r="L15" s="121" t="n"/>
      <c r="M15" s="126" t="n"/>
    </row>
    <row r="16" ht="21" customHeight="1">
      <c r="A16" s="119" t="inlineStr">
        <is>
          <t>TOK-11</t>
        </is>
      </c>
      <c r="B16" s="33" t="inlineStr">
        <is>
          <t>Programme / schedule</t>
        </is>
      </c>
      <c r="C16" s="34" t="inlineStr">
        <is>
          <t>Builds the works programme</t>
        </is>
      </c>
      <c r="D16" s="121" t="n"/>
      <c r="E16" s="121" t="n"/>
      <c r="F16" s="121" t="n"/>
      <c r="G16" s="125">
        <f>IF(COUNT(E16:F16)=0,"",E16+F16)</f>
        <v/>
      </c>
      <c r="H16" s="122" t="n">
        <v>6000</v>
      </c>
      <c r="I16" s="124">
        <f>IF(G16="","Not started",IF(G16&lt;=H16,"Pass","Fail"))</f>
        <v/>
      </c>
      <c r="J16" s="128">
        <f>IF(G16="","",G16/1000*0.1290)</f>
        <v/>
      </c>
      <c r="K16" s="121" t="n"/>
      <c r="L16" s="121" t="n"/>
      <c r="M16" s="126" t="n"/>
    </row>
    <row r="17" ht="21" customHeight="1">
      <c r="A17" s="119" t="inlineStr">
        <is>
          <t>TOK-12</t>
        </is>
      </c>
      <c r="B17" s="33" t="inlineStr">
        <is>
          <t>Procurement packages</t>
        </is>
      </c>
      <c r="C17" s="34" t="inlineStr">
        <is>
          <t>Groups bill lines into packages</t>
        </is>
      </c>
      <c r="D17" s="121" t="n"/>
      <c r="E17" s="121" t="n"/>
      <c r="F17" s="121" t="n"/>
      <c r="G17" s="125">
        <f>IF(COUNT(E17:F17)=0,"",E17+F17)</f>
        <v/>
      </c>
      <c r="H17" s="122" t="n">
        <v>4000</v>
      </c>
      <c r="I17" s="124">
        <f>IF(G17="","Not started",IF(G17&lt;=H17,"Pass","Fail"))</f>
        <v/>
      </c>
      <c r="J17" s="128">
        <f>IF(G17="","",G17/1000*0.1290)</f>
        <v/>
      </c>
      <c r="K17" s="121" t="n"/>
      <c r="L17" s="121" t="n"/>
      <c r="M17" s="126" t="n"/>
    </row>
    <row r="18" ht="21" customHeight="1">
      <c r="A18" s="119" t="inlineStr">
        <is>
          <t>TOK-13</t>
        </is>
      </c>
      <c r="B18" s="33" t="inlineStr">
        <is>
          <t>Technical narrative</t>
        </is>
      </c>
      <c r="C18" s="34" t="inlineStr">
        <is>
          <t>Writes the technical submission</t>
        </is>
      </c>
      <c r="D18" s="121" t="n"/>
      <c r="E18" s="121" t="n"/>
      <c r="F18" s="121" t="n"/>
      <c r="G18" s="125">
        <f>IF(COUNT(E18:F18)=0,"",E18+F18)</f>
        <v/>
      </c>
      <c r="H18" s="122" t="n">
        <v>10000</v>
      </c>
      <c r="I18" s="124">
        <f>IF(G18="","Not started",IF(G18&lt;=H18,"Pass","Fail"))</f>
        <v/>
      </c>
      <c r="J18" s="128">
        <f>IF(G18="","",G18/1000*0.1290)</f>
        <v/>
      </c>
      <c r="K18" s="121" t="n"/>
      <c r="L18" s="121" t="n"/>
      <c r="M18" s="126" t="n"/>
    </row>
    <row r="19" ht="21" customHeight="1">
      <c r="A19" s="119" t="inlineStr">
        <is>
          <t>TOK-14</t>
        </is>
      </c>
      <c r="B19" s="33" t="inlineStr">
        <is>
          <t>Proposal writing</t>
        </is>
      </c>
      <c r="C19" s="34" t="inlineStr">
        <is>
          <t>Drafts the proposal document</t>
        </is>
      </c>
      <c r="D19" s="121" t="n"/>
      <c r="E19" s="121" t="n"/>
      <c r="F19" s="121" t="n"/>
      <c r="G19" s="125">
        <f>IF(COUNT(E19:F19)=0,"",E19+F19)</f>
        <v/>
      </c>
      <c r="H19" s="122" t="n">
        <v>10000</v>
      </c>
      <c r="I19" s="124">
        <f>IF(G19="","Not started",IF(G19&lt;=H19,"Pass","Fail"))</f>
        <v/>
      </c>
      <c r="J19" s="128">
        <f>IF(G19="","",G19/1000*0.1290)</f>
        <v/>
      </c>
      <c r="K19" s="121" t="n"/>
      <c r="L19" s="121" t="n"/>
      <c r="M19" s="126" t="n"/>
    </row>
    <row r="20" ht="21" customHeight="1">
      <c r="A20" s="119" t="inlineStr">
        <is>
          <t>TOK-15</t>
        </is>
      </c>
      <c r="B20" s="33" t="inlineStr">
        <is>
          <t>Bid approval pack</t>
        </is>
      </c>
      <c r="C20" s="34" t="inlineStr">
        <is>
          <t>Assembles the approval pack</t>
        </is>
      </c>
      <c r="D20" s="121" t="n"/>
      <c r="E20" s="121" t="n"/>
      <c r="F20" s="121" t="n"/>
      <c r="G20" s="125">
        <f>IF(COUNT(E20:F20)=0,"",E20+F20)</f>
        <v/>
      </c>
      <c r="H20" s="122" t="n">
        <v>3000</v>
      </c>
      <c r="I20" s="124">
        <f>IF(G20="","Not started",IF(G20&lt;=H20,"Pass","Fail"))</f>
        <v/>
      </c>
      <c r="J20" s="128">
        <f>IF(G20="","",G20/1000*0.1290)</f>
        <v/>
      </c>
      <c r="K20" s="121" t="n"/>
      <c r="L20" s="121" t="n"/>
      <c r="M20" s="126" t="n"/>
    </row>
    <row r="21" ht="21" customHeight="1">
      <c r="A21" s="119" t="inlineStr">
        <is>
          <t>TOK-16</t>
        </is>
      </c>
      <c r="B21" s="33" t="inlineStr">
        <is>
          <t>Client clarifications</t>
        </is>
      </c>
      <c r="C21" s="34" t="inlineStr">
        <is>
          <t>Drafts questions back to the client</t>
        </is>
      </c>
      <c r="D21" s="121" t="n"/>
      <c r="E21" s="121" t="n"/>
      <c r="F21" s="121" t="n"/>
      <c r="G21" s="125">
        <f>IF(COUNT(E21:F21)=0,"",E21+F21)</f>
        <v/>
      </c>
      <c r="H21" s="122" t="n">
        <v>3000</v>
      </c>
      <c r="I21" s="124">
        <f>IF(G21="","Not started",IF(G21&lt;=H21,"Pass","Fail"))</f>
        <v/>
      </c>
      <c r="J21" s="128">
        <f>IF(G21="","",G21/1000*0.1290)</f>
        <v/>
      </c>
      <c r="K21" s="121" t="n"/>
      <c r="L21" s="121" t="n"/>
      <c r="M21" s="126" t="n"/>
    </row>
    <row r="22" ht="21" customHeight="1">
      <c r="A22" s="119" t="inlineStr">
        <is>
          <t>TOK-17</t>
        </is>
      </c>
      <c r="B22" s="33" t="inlineStr">
        <is>
          <t>Copilot answers</t>
        </is>
      </c>
      <c r="C22" s="34" t="inlineStr">
        <is>
          <t>Answers questions people ask</t>
        </is>
      </c>
      <c r="D22" s="121" t="n"/>
      <c r="E22" s="121" t="n"/>
      <c r="F22" s="121" t="n"/>
      <c r="G22" s="125">
        <f>IF(COUNT(E22:F22)=0,"",E22+F22)</f>
        <v/>
      </c>
      <c r="H22" s="122" t="n">
        <v>3000</v>
      </c>
      <c r="I22" s="124">
        <f>IF(G22="","Not started",IF(G22&lt;=H22,"Pass","Fail"))</f>
        <v/>
      </c>
      <c r="J22" s="128">
        <f>IF(G22="","",G22/1000*0.1290)</f>
        <v/>
      </c>
      <c r="K22" s="121" t="n"/>
      <c r="L22" s="121" t="n"/>
      <c r="M22" s="126" t="n"/>
    </row>
    <row r="23">
      <c r="A23" s="107" t="n"/>
      <c r="B23" s="105" t="inlineStr">
        <is>
          <t>TOTAL — one full bid</t>
        </is>
      </c>
      <c r="C23" s="107" t="n"/>
      <c r="D23" s="107" t="n"/>
      <c r="E23" s="107" t="n"/>
      <c r="F23" s="107" t="n"/>
      <c r="G23" s="129">
        <f>SUM(G6:G22)</f>
        <v/>
      </c>
      <c r="H23" s="129">
        <f>SUM(H6:H22)</f>
        <v/>
      </c>
      <c r="I23" s="107" t="n"/>
      <c r="J23" s="130">
        <f>SUM(J6:J22)</f>
        <v/>
      </c>
      <c r="K23" s="107" t="n"/>
      <c r="L23" s="107" t="n"/>
      <c r="M23" s="107" t="n"/>
    </row>
    <row r="25" ht="32" customHeight="1">
      <c r="A25" s="71" t="inlineStr">
        <is>
          <t>That total is the number the manager wants: the token cost of one complete bid, to multiply by bids per year. Targets in column H are first guesses — replace them once one real bid has been measured.</t>
        </is>
      </c>
    </row>
  </sheetData>
  <mergeCells count="1">
    <mergeCell ref="A25:H25"/>
  </mergeCells>
  <conditionalFormatting sqref="I6:I22">
    <cfRule type="cellIs" priority="1" operator="equal" dxfId="0">
      <formula>"Pass"</formula>
    </cfRule>
    <cfRule type="cellIs" priority="2" operator="equal" dxfId="1">
      <formula>"Fail"</formula>
    </cfRule>
    <cfRule type="cellIs" priority="3" operator="equal" dxfId="2">
      <formula>"Blocked"</formula>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14.xml><?xml version="1.0" encoding="utf-8"?>
<worksheet xmlns="http://schemas.openxmlformats.org/spreadsheetml/2006/main">
  <sheetPr>
    <tabColor rgb="008A5A12"/>
    <outlinePr summaryBelow="1" summaryRight="1"/>
    <pageSetUpPr fitToPage="1"/>
  </sheetPr>
  <dimension ref="A1:N25"/>
  <sheetViews>
    <sheetView showGridLines="0" workbookViewId="0">
      <pane ySplit="5" topLeftCell="A6" activePane="bottomLeft" state="frozen"/>
      <selection pane="bottomLeft" activeCell="A1" sqref="A1"/>
    </sheetView>
  </sheetViews>
  <sheetFormatPr baseColWidth="8" defaultRowHeight="15"/>
  <cols>
    <col width="9" customWidth="1" min="1" max="1"/>
    <col width="25" customWidth="1" min="2" max="2"/>
    <col width="30" customWidth="1" min="3" max="3"/>
    <col width="11" customWidth="1" min="4" max="4"/>
    <col width="10" customWidth="1" min="5" max="5"/>
    <col width="10" customWidth="1" min="6" max="6"/>
    <col width="10" customWidth="1" min="7" max="7"/>
    <col width="10" customWidth="1" min="8" max="8"/>
    <col width="11" customWidth="1" min="9" max="9"/>
    <col width="11" customWidth="1" min="10" max="10"/>
    <col width="10" customWidth="1" min="11" max="11"/>
    <col width="13" customWidth="1" min="12" max="12"/>
    <col width="12" customWidth="1" min="13" max="13"/>
    <col width="24" customWidth="1" min="14" max="14"/>
  </cols>
  <sheetData>
    <row r="1">
      <c r="A1" s="16" t="inlineStr">
        <is>
          <t>‹ Contents</t>
        </is>
      </c>
    </row>
    <row r="2" ht="26" customHeight="1">
      <c r="A2" s="1" t="inlineStr">
        <is>
          <t>Extraction accuracy</t>
        </is>
      </c>
    </row>
    <row r="3">
      <c r="A3" s="2" t="inlineStr">
        <is>
          <t>Take a sample, mark it by hand, count. Percentages calculate themselves.</t>
        </is>
      </c>
    </row>
    <row r="5" ht="32" customHeight="1">
      <c r="A5" s="31" t="inlineStr">
        <is>
          <t>ID</t>
        </is>
      </c>
      <c r="B5" s="31" t="inlineStr">
        <is>
          <t>What is extracted</t>
        </is>
      </c>
      <c r="C5" s="31" t="inlineStr">
        <is>
          <t>Test set used</t>
        </is>
      </c>
      <c r="D5" s="31" t="inlineStr">
        <is>
          <t>In truth</t>
        </is>
      </c>
      <c r="E5" s="31" t="inlineStr">
        <is>
          <t>Found</t>
        </is>
      </c>
      <c r="F5" s="31" t="inlineStr">
        <is>
          <t>Correct</t>
        </is>
      </c>
      <c r="G5" s="31" t="inlineStr">
        <is>
          <t>Wrong</t>
        </is>
      </c>
      <c r="H5" s="31" t="inlineStr">
        <is>
          <t>Missed</t>
        </is>
      </c>
      <c r="I5" s="31" t="inlineStr">
        <is>
          <t>Precision</t>
        </is>
      </c>
      <c r="J5" s="31" t="inlineStr">
        <is>
          <t>Recall</t>
        </is>
      </c>
      <c r="K5" s="31" t="inlineStr">
        <is>
          <t>F1</t>
        </is>
      </c>
      <c r="L5" s="31" t="inlineStr">
        <is>
          <t>Target recall</t>
        </is>
      </c>
      <c r="M5" s="31" t="inlineStr">
        <is>
          <t>Result</t>
        </is>
      </c>
      <c r="N5" s="31" t="inlineStr">
        <is>
          <t>Notes</t>
        </is>
      </c>
    </row>
    <row r="6" ht="22" customHeight="1">
      <c r="A6" s="119" t="inlineStr">
        <is>
          <t>ACC-01</t>
        </is>
      </c>
      <c r="B6" s="33" t="inlineStr">
        <is>
          <t>Tender requirements</t>
        </is>
      </c>
      <c r="C6" s="131" t="inlineStr">
        <is>
          <t>One real tender, marked by an estimator</t>
        </is>
      </c>
      <c r="D6" s="121" t="n"/>
      <c r="E6" s="121" t="n"/>
      <c r="F6" s="121" t="n"/>
      <c r="G6" s="121" t="n"/>
      <c r="H6" s="121" t="n"/>
      <c r="I6" s="132">
        <f>IF(E6=0,"",F6/E6)</f>
        <v/>
      </c>
      <c r="J6" s="132">
        <f>IF(D6=0,"",F6/D6)</f>
        <v/>
      </c>
      <c r="K6" s="132">
        <f>IF(OR(I6="",J6="",I6+J6=0),"",2*I6*J6/(I6+J6))</f>
        <v/>
      </c>
      <c r="L6" s="133" t="n">
        <v>0.9</v>
      </c>
      <c r="M6" s="124">
        <f>IF(J6="","Not started",IF(J6&gt;=L6,"Pass","Fail"))</f>
        <v/>
      </c>
      <c r="N6" s="126" t="n"/>
    </row>
    <row r="7" ht="22" customHeight="1">
      <c r="A7" s="119" t="inlineStr">
        <is>
          <t>ACC-02</t>
        </is>
      </c>
      <c r="B7" s="33" t="inlineStr">
        <is>
          <t>Submission dates and format</t>
        </is>
      </c>
      <c r="C7" s="131" t="inlineStr">
        <is>
          <t>Same tender</t>
        </is>
      </c>
      <c r="D7" s="121" t="n"/>
      <c r="E7" s="121" t="n"/>
      <c r="F7" s="121" t="n"/>
      <c r="G7" s="121" t="n"/>
      <c r="H7" s="121" t="n"/>
      <c r="I7" s="132">
        <f>IF(E7=0,"",F7/E7)</f>
        <v/>
      </c>
      <c r="J7" s="132">
        <f>IF(D7=0,"",F7/D7)</f>
        <v/>
      </c>
      <c r="K7" s="132">
        <f>IF(OR(I7="",J7="",I7+J7=0),"",2*I7*J7/(I7+J7))</f>
        <v/>
      </c>
      <c r="L7" s="133" t="n">
        <v>0.95</v>
      </c>
      <c r="M7" s="124">
        <f>IF(J7="","Not started",IF(J7&gt;=L7,"Pass","Fail"))</f>
        <v/>
      </c>
      <c r="N7" s="126" t="n"/>
    </row>
    <row r="8" ht="22" customHeight="1">
      <c r="A8" s="119" t="inlineStr">
        <is>
          <t>ACC-03</t>
        </is>
      </c>
      <c r="B8" s="33" t="inlineStr">
        <is>
          <t>Specification clauses</t>
        </is>
      </c>
      <c r="C8" s="131" t="inlineStr">
        <is>
          <t>One spec, clauses marked by hand</t>
        </is>
      </c>
      <c r="D8" s="121" t="n"/>
      <c r="E8" s="121" t="n"/>
      <c r="F8" s="121" t="n"/>
      <c r="G8" s="121" t="n"/>
      <c r="H8" s="121" t="n"/>
      <c r="I8" s="132">
        <f>IF(E8=0,"",F8/E8)</f>
        <v/>
      </c>
      <c r="J8" s="132">
        <f>IF(D8=0,"",F8/D8)</f>
        <v/>
      </c>
      <c r="K8" s="132">
        <f>IF(OR(I8="",J8="",I8+J8=0),"",2*I8*J8/(I8+J8))</f>
        <v/>
      </c>
      <c r="L8" s="133" t="n">
        <v>0.9</v>
      </c>
      <c r="M8" s="124">
        <f>IF(J8="","Not started",IF(J8&gt;=L8,"Pass","Fail"))</f>
        <v/>
      </c>
      <c r="N8" s="126" t="n"/>
    </row>
    <row r="9" ht="22" customHeight="1">
      <c r="A9" s="119" t="inlineStr">
        <is>
          <t>ACC-04</t>
        </is>
      </c>
      <c r="B9" s="33" t="inlineStr">
        <is>
          <t>Document classification</t>
        </is>
      </c>
      <c r="C9" s="131" t="inlineStr">
        <is>
          <t>50 mixed documents, labelled by hand</t>
        </is>
      </c>
      <c r="D9" s="121" t="n"/>
      <c r="E9" s="121" t="n"/>
      <c r="F9" s="121" t="n"/>
      <c r="G9" s="121" t="n"/>
      <c r="H9" s="121" t="n"/>
      <c r="I9" s="132">
        <f>IF(E9=0,"",F9/E9)</f>
        <v/>
      </c>
      <c r="J9" s="132">
        <f>IF(D9=0,"",F9/D9)</f>
        <v/>
      </c>
      <c r="K9" s="132">
        <f>IF(OR(I9="",J9="",I9+J9=0),"",2*I9*J9/(I9+J9))</f>
        <v/>
      </c>
      <c r="L9" s="133" t="n">
        <v>0.95</v>
      </c>
      <c r="M9" s="124">
        <f>IF(J9="","Not started",IF(J9&gt;=L9,"Pass","Fail"))</f>
        <v/>
      </c>
      <c r="N9" s="126" t="n"/>
    </row>
    <row r="10" ht="22" customHeight="1">
      <c r="A10" s="119" t="inlineStr">
        <is>
          <t>ACC-05</t>
        </is>
      </c>
      <c r="B10" s="33" t="inlineStr">
        <is>
          <t>Drawing sheet index</t>
        </is>
      </c>
      <c r="C10" s="131" t="inlineStr">
        <is>
          <t>One drawing set, sheets listed by hand</t>
        </is>
      </c>
      <c r="D10" s="121" t="n"/>
      <c r="E10" s="121" t="n"/>
      <c r="F10" s="121" t="n"/>
      <c r="G10" s="121" t="n"/>
      <c r="H10" s="121" t="n"/>
      <c r="I10" s="132">
        <f>IF(E10=0,"",F10/E10)</f>
        <v/>
      </c>
      <c r="J10" s="132">
        <f>IF(D10=0,"",F10/D10)</f>
        <v/>
      </c>
      <c r="K10" s="132">
        <f>IF(OR(I10="",J10="",I10+J10=0),"",2*I10*J10/(I10+J10))</f>
        <v/>
      </c>
      <c r="L10" s="133" t="n">
        <v>0.95</v>
      </c>
      <c r="M10" s="124">
        <f>IF(J10="","Not started",IF(J10&gt;=L10,"Pass","Fail"))</f>
        <v/>
      </c>
      <c r="N10" s="126" t="n"/>
    </row>
    <row r="11" ht="22" customHeight="1">
      <c r="A11" s="119" t="inlineStr">
        <is>
          <t>ACC-06</t>
        </is>
      </c>
      <c r="B11" s="33" t="inlineStr">
        <is>
          <t>Drawing measurements</t>
        </is>
      </c>
      <c r="C11" s="131" t="inlineStr">
        <is>
          <t>One drawing measured by a QS</t>
        </is>
      </c>
      <c r="D11" s="121" t="n"/>
      <c r="E11" s="121" t="n"/>
      <c r="F11" s="121" t="n"/>
      <c r="G11" s="121" t="n"/>
      <c r="H11" s="121" t="n"/>
      <c r="I11" s="132">
        <f>IF(E11=0,"",F11/E11)</f>
        <v/>
      </c>
      <c r="J11" s="132">
        <f>IF(D11=0,"",F11/D11)</f>
        <v/>
      </c>
      <c r="K11" s="132">
        <f>IF(OR(I11="",J11="",I11+J11=0),"",2*I11*J11/(I11+J11))</f>
        <v/>
      </c>
      <c r="L11" s="133" t="n">
        <v>0.9</v>
      </c>
      <c r="M11" s="124">
        <f>IF(J11="","Not started",IF(J11&gt;=L11,"Pass","Fail"))</f>
        <v/>
      </c>
      <c r="N11" s="126" t="n"/>
    </row>
    <row r="12" ht="22" customHeight="1">
      <c r="A12" s="119" t="inlineStr">
        <is>
          <t>ACC-07</t>
        </is>
      </c>
      <c r="B12" s="33" t="inlineStr">
        <is>
          <t>BOQ line generation</t>
        </is>
      </c>
      <c r="C12" s="131" t="inlineStr">
        <is>
          <t>Bill produced by hand from the same drawings</t>
        </is>
      </c>
      <c r="D12" s="121" t="n"/>
      <c r="E12" s="121" t="n"/>
      <c r="F12" s="121" t="n"/>
      <c r="G12" s="121" t="n"/>
      <c r="H12" s="121" t="n"/>
      <c r="I12" s="132">
        <f>IF(E12=0,"",F12/E12)</f>
        <v/>
      </c>
      <c r="J12" s="132">
        <f>IF(D12=0,"",F12/D12)</f>
        <v/>
      </c>
      <c r="K12" s="132">
        <f>IF(OR(I12="",J12="",I12+J12=0),"",2*I12*J12/(I12+J12))</f>
        <v/>
      </c>
      <c r="L12" s="133" t="n">
        <v>0.85</v>
      </c>
      <c r="M12" s="124">
        <f>IF(J12="","Not started",IF(J12&gt;=L12,"Pass","Fail"))</f>
        <v/>
      </c>
      <c r="N12" s="126" t="n"/>
    </row>
    <row r="13" ht="22" customHeight="1">
      <c r="A13" s="119" t="inlineStr">
        <is>
          <t>ACC-08</t>
        </is>
      </c>
      <c r="B13" s="33" t="inlineStr">
        <is>
          <t>Rate matching</t>
        </is>
      </c>
      <c r="C13" s="131" t="inlineStr">
        <is>
          <t>Bill priced by hand from the same library</t>
        </is>
      </c>
      <c r="D13" s="121" t="n"/>
      <c r="E13" s="121" t="n"/>
      <c r="F13" s="121" t="n"/>
      <c r="G13" s="121" t="n"/>
      <c r="H13" s="121" t="n"/>
      <c r="I13" s="132">
        <f>IF(E13=0,"",F13/E13)</f>
        <v/>
      </c>
      <c r="J13" s="132">
        <f>IF(D13=0,"",F13/D13)</f>
        <v/>
      </c>
      <c r="K13" s="132">
        <f>IF(OR(I13="",J13="",I13+J13=0),"",2*I13*J13/(I13+J13))</f>
        <v/>
      </c>
      <c r="L13" s="133" t="n">
        <v>0.9</v>
      </c>
      <c r="M13" s="124">
        <f>IF(J13="","Not started",IF(J13&gt;=L13,"Pass","Fail"))</f>
        <v/>
      </c>
      <c r="N13" s="126" t="n"/>
    </row>
    <row r="14" ht="22" customHeight="1">
      <c r="A14" s="119" t="inlineStr">
        <is>
          <t>ACC-09</t>
        </is>
      </c>
      <c r="B14" s="33" t="inlineStr">
        <is>
          <t>Programme activities</t>
        </is>
      </c>
      <c r="C14" s="131" t="inlineStr">
        <is>
          <t>Programme built by hand from the same bill</t>
        </is>
      </c>
      <c r="D14" s="121" t="n"/>
      <c r="E14" s="121" t="n"/>
      <c r="F14" s="121" t="n"/>
      <c r="G14" s="121" t="n"/>
      <c r="H14" s="121" t="n"/>
      <c r="I14" s="132">
        <f>IF(E14=0,"",F14/E14)</f>
        <v/>
      </c>
      <c r="J14" s="132">
        <f>IF(D14=0,"",F14/D14)</f>
        <v/>
      </c>
      <c r="K14" s="132">
        <f>IF(OR(I14="",J14="",I14+J14=0),"",2*I14*J14/(I14+J14))</f>
        <v/>
      </c>
      <c r="L14" s="133" t="n">
        <v>0.8</v>
      </c>
      <c r="M14" s="124">
        <f>IF(J14="","Not started",IF(J14&gt;=L14,"Pass","Fail"))</f>
        <v/>
      </c>
      <c r="N14" s="126" t="n"/>
    </row>
    <row r="15" ht="22" customHeight="1">
      <c r="A15" s="119" t="inlineStr">
        <is>
          <t>ACC-10</t>
        </is>
      </c>
      <c r="B15" s="33" t="inlineStr">
        <is>
          <t>Risk identification</t>
        </is>
      </c>
      <c r="C15" s="131" t="inlineStr">
        <is>
          <t>Risks listed by a bid manager</t>
        </is>
      </c>
      <c r="D15" s="121" t="n"/>
      <c r="E15" s="121" t="n"/>
      <c r="F15" s="121" t="n"/>
      <c r="G15" s="121" t="n"/>
      <c r="H15" s="121" t="n"/>
      <c r="I15" s="132">
        <f>IF(E15=0,"",F15/E15)</f>
        <v/>
      </c>
      <c r="J15" s="132">
        <f>IF(D15=0,"",F15/D15)</f>
        <v/>
      </c>
      <c r="K15" s="132">
        <f>IF(OR(I15="",J15="",I15+J15=0),"",2*I15*J15/(I15+J15))</f>
        <v/>
      </c>
      <c r="L15" s="133" t="n">
        <v>0.75</v>
      </c>
      <c r="M15" s="124">
        <f>IF(J15="","Not started",IF(J15&gt;=L15,"Pass","Fail"))</f>
        <v/>
      </c>
      <c r="N15" s="126" t="n"/>
    </row>
    <row r="17">
      <c r="A17" s="9" t="inlineStr">
        <is>
          <t>What the columns mean</t>
        </is>
      </c>
    </row>
    <row r="18" ht="17" customHeight="1">
      <c r="B18" s="108" t="inlineStr">
        <is>
          <t>In truth</t>
        </is>
      </c>
      <c r="C18" s="11" t="inlineStr">
        <is>
          <t>How many there actually are, counted by a person.</t>
        </is>
      </c>
    </row>
    <row r="19" ht="17" customHeight="1">
      <c r="B19" s="108" t="inlineStr">
        <is>
          <t>Found</t>
        </is>
      </c>
      <c r="C19" s="11" t="inlineStr">
        <is>
          <t>How many the system returned.</t>
        </is>
      </c>
    </row>
    <row r="20" ht="17" customHeight="1">
      <c r="B20" s="108" t="inlineStr">
        <is>
          <t>Correct</t>
        </is>
      </c>
      <c r="C20" s="11" t="inlineStr">
        <is>
          <t>How many of those found were right.</t>
        </is>
      </c>
    </row>
    <row r="21" ht="17" customHeight="1">
      <c r="B21" s="108" t="inlineStr">
        <is>
          <t>Precision</t>
        </is>
      </c>
      <c r="C21" s="11" t="inlineStr">
        <is>
          <t>Of what it found, how much was right.</t>
        </is>
      </c>
    </row>
    <row r="22" ht="17" customHeight="1">
      <c r="B22" s="108" t="inlineStr">
        <is>
          <t>Recall</t>
        </is>
      </c>
      <c r="C22" s="11" t="inlineStr">
        <is>
          <t>Of what was there, how much it found.</t>
        </is>
      </c>
    </row>
    <row r="23" ht="17" customHeight="1">
      <c r="B23" s="108" t="inlineStr">
        <is>
          <t>F1</t>
        </is>
      </c>
      <c r="C23" s="11" t="inlineStr">
        <is>
          <t>The two combined into one number.</t>
        </is>
      </c>
    </row>
    <row r="25" ht="26" customHeight="1">
      <c r="B25" s="134" t="inlineStr">
        <is>
          <t>Recall matters more than precision. A requirement the system invents gets caught in review; one it misses ends up in a contract nobody priced.</t>
        </is>
      </c>
    </row>
  </sheetData>
  <mergeCells count="7">
    <mergeCell ref="C19:H19"/>
    <mergeCell ref="B25:I25"/>
    <mergeCell ref="C22:H22"/>
    <mergeCell ref="C23:H23"/>
    <mergeCell ref="C18:H18"/>
    <mergeCell ref="C20:H20"/>
    <mergeCell ref="C21:H21"/>
  </mergeCells>
  <conditionalFormatting sqref="M6:M15">
    <cfRule type="cellIs" priority="1" operator="equal" dxfId="0">
      <formula>"Pass"</formula>
    </cfRule>
    <cfRule type="cellIs" priority="2" operator="equal" dxfId="1">
      <formula>"Fail"</formula>
    </cfRule>
    <cfRule type="cellIs" priority="3" operator="equal" dxfId="2">
      <formula>"Blocked"</formula>
    </cfRule>
  </conditionalFormatting>
  <hyperlinks>
    <hyperlink xmlns:r="http://schemas.openxmlformats.org/officeDocument/2006/relationships" ref="A1" r:id="rId1"/>
  </hyperlinks>
  <pageMargins left="0.75" right="0.75" top="1" bottom="1" header="0.5" footer="0.5"/>
  <pageSetup orientation="landscape" fitToWidth="1"/>
</worksheet>
</file>

<file path=xl/worksheets/sheet15.xml><?xml version="1.0" encoding="utf-8"?>
<worksheet xmlns="http://schemas.openxmlformats.org/spreadsheetml/2006/main">
  <sheetPr>
    <tabColor rgb="007A8F97"/>
    <outlinePr summaryBelow="1" summaryRight="1"/>
    <pageSetUpPr fitToPage="1"/>
  </sheetPr>
  <dimension ref="A1:D20"/>
  <sheetViews>
    <sheetView showGridLines="0" workbookViewId="0">
      <selection activeCell="A1" sqref="A1"/>
    </sheetView>
  </sheetViews>
  <sheetFormatPr baseColWidth="8" defaultRowHeight="15"/>
  <cols>
    <col width="34" customWidth="1" min="1" max="1"/>
    <col width="18" customWidth="1" min="2" max="2"/>
    <col width="20" customWidth="1" min="3" max="3"/>
    <col width="60" customWidth="1" min="4" max="4"/>
  </cols>
  <sheetData>
    <row r="1">
      <c r="A1" s="16" t="inlineStr">
        <is>
          <t>‹ Contents</t>
        </is>
      </c>
    </row>
    <row r="2" ht="26" customHeight="1">
      <c r="A2" s="1" t="inlineStr">
        <is>
          <t>Targets and thresholds</t>
        </is>
      </c>
    </row>
    <row r="3">
      <c r="A3" s="2" t="inlineStr">
        <is>
          <t>All proposals. Agree them before testing starts, then change them here.</t>
        </is>
      </c>
    </row>
    <row r="5" ht="32" customHeight="1">
      <c r="A5" s="31" t="inlineStr">
        <is>
          <t>Measure</t>
        </is>
      </c>
      <c r="B5" s="31" t="inlineStr">
        <is>
          <t>Proposed target</t>
        </is>
      </c>
      <c r="C5" s="31" t="inlineStr">
        <is>
          <t>Today</t>
        </is>
      </c>
      <c r="D5" s="31" t="inlineStr">
        <is>
          <t>Basis</t>
        </is>
      </c>
    </row>
    <row r="6" ht="22" customHeight="1">
      <c r="A6" s="33" t="inlineStr">
        <is>
          <t>Document &lt; 0.5 MB</t>
        </is>
      </c>
      <c r="B6" s="135" t="inlineStr">
        <is>
          <t>10 sec</t>
        </is>
      </c>
      <c r="C6" s="136" t="inlineStr">
        <is>
          <t>3.9 sec</t>
        </is>
      </c>
      <c r="D6" s="34" t="inlineStr">
        <is>
          <t>Comfortably met.</t>
        </is>
      </c>
    </row>
    <row r="7" ht="22" customHeight="1">
      <c r="A7" s="33" t="inlineStr">
        <is>
          <t>Document 0.5 – 2 MB</t>
        </is>
      </c>
      <c r="B7" s="135" t="inlineStr">
        <is>
          <t>30 sec</t>
        </is>
      </c>
      <c r="C7" s="136" t="inlineStr">
        <is>
          <t>10.5 sec</t>
        </is>
      </c>
      <c r="D7" s="34" t="inlineStr">
        <is>
          <t>Met.</t>
        </is>
      </c>
    </row>
    <row r="8" ht="22" customHeight="1">
      <c r="A8" s="33" t="inlineStr">
        <is>
          <t>Document 2 – 8 MB</t>
        </is>
      </c>
      <c r="B8" s="135" t="inlineStr">
        <is>
          <t>90 sec</t>
        </is>
      </c>
      <c r="C8" s="136" t="inlineStr">
        <is>
          <t>9.4 sec</t>
        </is>
      </c>
      <c r="D8" s="34" t="inlineStr">
        <is>
          <t>Met.</t>
        </is>
      </c>
    </row>
    <row r="9" ht="22" customHeight="1">
      <c r="A9" s="33" t="inlineStr">
        <is>
          <t>Document 8 – 32 MB</t>
        </is>
      </c>
      <c r="B9" s="135" t="inlineStr">
        <is>
          <t>300 sec</t>
        </is>
      </c>
      <c r="C9" s="136" t="inlineStr">
        <is>
          <t>5.4 sec</t>
        </is>
      </c>
      <c r="D9" s="34" t="inlineStr">
        <is>
          <t>Suspiciously fast — verify.</t>
        </is>
      </c>
    </row>
    <row r="10" ht="22" customHeight="1">
      <c r="A10" s="33" t="inlineStr">
        <is>
          <t>Document 32 MB +</t>
        </is>
      </c>
      <c r="B10" s="135" t="inlineStr">
        <is>
          <t>600 sec</t>
        </is>
      </c>
      <c r="C10" s="137" t="inlineStr">
        <is>
          <t>2.4 sec</t>
        </is>
      </c>
      <c r="D10" s="34" t="inlineStr">
        <is>
          <t>Faster than a small file. Not credible.</t>
        </is>
      </c>
    </row>
    <row r="11" ht="22" customHeight="1">
      <c r="A11" s="33" t="inlineStr">
        <is>
          <t>Drawing — simple</t>
        </is>
      </c>
      <c r="B11" s="135" t="inlineStr">
        <is>
          <t>30 sec</t>
        </is>
      </c>
      <c r="C11" s="137" t="inlineStr">
        <is>
          <t>not measured</t>
        </is>
      </c>
      <c r="D11" s="34" t="inlineStr">
        <is>
          <t>No timing recorded today.</t>
        </is>
      </c>
    </row>
    <row r="12" ht="22" customHeight="1">
      <c r="A12" s="33" t="inlineStr">
        <is>
          <t>Drawing — medium</t>
        </is>
      </c>
      <c r="B12" s="135" t="inlineStr">
        <is>
          <t>120 sec</t>
        </is>
      </c>
      <c r="C12" s="137" t="inlineStr">
        <is>
          <t>not measured</t>
        </is>
      </c>
      <c r="D12" s="34" t="inlineStr">
        <is>
          <t>No timing recorded today.</t>
        </is>
      </c>
    </row>
    <row r="13" ht="22" customHeight="1">
      <c r="A13" s="33" t="inlineStr">
        <is>
          <t>Drawing — complex</t>
        </is>
      </c>
      <c r="B13" s="135" t="inlineStr">
        <is>
          <t>600 sec</t>
        </is>
      </c>
      <c r="C13" s="137" t="inlineStr">
        <is>
          <t>not measured</t>
        </is>
      </c>
      <c r="D13" s="34" t="inlineStr">
        <is>
          <t>No timing recorded today.</t>
        </is>
      </c>
    </row>
    <row r="14" ht="22" customHeight="1">
      <c r="A14" s="33" t="inlineStr">
        <is>
          <t>Queue wait, any job</t>
        </is>
      </c>
      <c r="B14" s="135" t="inlineStr">
        <is>
          <t>60 sec</t>
        </is>
      </c>
      <c r="C14" s="136" t="inlineStr">
        <is>
          <t>up to 37 hrs</t>
        </is>
      </c>
      <c r="D14" s="34" t="inlineStr">
        <is>
          <t>Worst case is the programme step.</t>
        </is>
      </c>
    </row>
    <row r="15" ht="22" customHeight="1">
      <c r="A15" s="33" t="inlineStr">
        <is>
          <t>Tokens, one full bid</t>
        </is>
      </c>
      <c r="B15" s="135" t="inlineStr">
        <is>
          <t>90,000</t>
        </is>
      </c>
      <c r="C15" s="137" t="inlineStr">
        <is>
          <t>not measured</t>
        </is>
      </c>
      <c r="D15" s="34" t="inlineStr">
        <is>
          <t>Sum of the step targets.</t>
        </is>
      </c>
    </row>
    <row r="16" ht="22" customHeight="1">
      <c r="A16" s="33" t="inlineStr">
        <is>
          <t>Cost, one full bid</t>
        </is>
      </c>
      <c r="B16" s="135" t="inlineStr">
        <is>
          <t>$11.61</t>
        </is>
      </c>
      <c r="C16" s="136" t="inlineStr">
        <is>
          <t>$0.56 placeholder</t>
        </is>
      </c>
      <c r="D16" s="34" t="inlineStr">
        <is>
          <t>90,000 tokens at $0.129 / 1k.</t>
        </is>
      </c>
    </row>
    <row r="17" ht="22" customHeight="1">
      <c r="A17" s="33" t="inlineStr">
        <is>
          <t>Recall — requirements</t>
        </is>
      </c>
      <c r="B17" s="135" t="inlineStr">
        <is>
          <t>90%</t>
        </is>
      </c>
      <c r="C17" s="137" t="inlineStr">
        <is>
          <t>not measured</t>
        </is>
      </c>
      <c r="D17" s="34" t="inlineStr">
        <is>
          <t>A missed requirement is a priced risk.</t>
        </is>
      </c>
    </row>
    <row r="18" ht="22" customHeight="1">
      <c r="A18" s="33" t="inlineStr">
        <is>
          <t>Recall — measurements</t>
        </is>
      </c>
      <c r="B18" s="135" t="inlineStr">
        <is>
          <t>90%</t>
        </is>
      </c>
      <c r="C18" s="137" t="inlineStr">
        <is>
          <t>not measured</t>
        </is>
      </c>
      <c r="D18" s="34" t="inlineStr">
        <is>
          <t>Within ±2% on quantity.</t>
        </is>
      </c>
    </row>
    <row r="19" ht="22" customHeight="1">
      <c r="A19" s="33" t="inlineStr">
        <is>
          <t>Recall — BOQ lines</t>
        </is>
      </c>
      <c r="B19" s="135" t="inlineStr">
        <is>
          <t>85%</t>
        </is>
      </c>
      <c r="C19" s="137" t="inlineStr">
        <is>
          <t>not measured</t>
        </is>
      </c>
      <c r="D19" s="34" t="inlineStr">
        <is>
          <t>Against a hand-built bill.</t>
        </is>
      </c>
    </row>
    <row r="20" ht="22" customHeight="1">
      <c r="A20" s="33" t="inlineStr">
        <is>
          <t>Functional tests passing</t>
        </is>
      </c>
      <c r="B20" s="135" t="inlineStr">
        <is>
          <t>100% of High</t>
        </is>
      </c>
      <c r="C20" s="137" t="inlineStr">
        <is>
          <t>not measured</t>
        </is>
      </c>
      <c r="D20" s="34" t="inlineStr">
        <is>
          <t>High priority must all pass.</t>
        </is>
      </c>
    </row>
  </sheetData>
  <hyperlinks>
    <hyperlink xmlns:r="http://schemas.openxmlformats.org/officeDocument/2006/relationships" ref="A1" r:id="rId1"/>
  </hyperlinks>
  <pageMargins left="0.75" right="0.75" top="1" bottom="1" header="0.5" footer="0.5"/>
  <pageSetup orientation="landscape" fitToWidth="1"/>
</worksheet>
</file>

<file path=xl/worksheets/sheet16.xml><?xml version="1.0" encoding="utf-8"?>
<worksheet xmlns="http://schemas.openxmlformats.org/spreadsheetml/2006/main">
  <sheetPr>
    <tabColor rgb="007A8F97"/>
    <outlinePr summaryBelow="1" summaryRight="1"/>
    <pageSetUpPr fitToPage="1"/>
  </sheetPr>
  <dimension ref="A1:G15"/>
  <sheetViews>
    <sheetView showGridLines="0" workbookViewId="0">
      <pane ySplit="5" topLeftCell="A6" activePane="bottomLeft" state="frozen"/>
      <selection pane="bottomLeft" activeCell="A1" sqref="A1"/>
    </sheetView>
  </sheetViews>
  <sheetFormatPr baseColWidth="8" defaultRowHeight="15"/>
  <cols>
    <col width="9" customWidth="1" min="1" max="1"/>
    <col width="34" customWidth="1" min="2" max="2"/>
    <col width="50" customWidth="1" min="3" max="3"/>
    <col width="11" customWidth="1" min="4" max="4"/>
    <col width="16" customWidth="1" min="5" max="5"/>
    <col width="14" customWidth="1" min="6" max="6"/>
    <col width="26" customWidth="1" min="7" max="7"/>
  </cols>
  <sheetData>
    <row r="1">
      <c r="A1" s="16" t="inlineStr">
        <is>
          <t>‹ Contents</t>
        </is>
      </c>
    </row>
    <row r="2" ht="26" customHeight="1">
      <c r="A2" s="1" t="inlineStr">
        <is>
          <t>Test data to prepare</t>
        </is>
      </c>
    </row>
    <row r="3">
      <c r="A3" s="2" t="inlineStr">
        <is>
          <t>Nothing can start until these exist.</t>
        </is>
      </c>
    </row>
    <row r="5" ht="32" customHeight="1">
      <c r="A5" s="31" t="inlineStr">
        <is>
          <t>ID</t>
        </is>
      </c>
      <c r="B5" s="31" t="inlineStr">
        <is>
          <t>What is needed</t>
        </is>
      </c>
      <c r="C5" s="31" t="inlineStr">
        <is>
          <t>Why</t>
        </is>
      </c>
      <c r="D5" s="31" t="inlineStr">
        <is>
          <t>Priority</t>
        </is>
      </c>
      <c r="E5" s="31" t="inlineStr">
        <is>
          <t>Owner</t>
        </is>
      </c>
      <c r="F5" s="31" t="inlineStr">
        <is>
          <t>Ready by</t>
        </is>
      </c>
      <c r="G5" s="31" t="inlineStr">
        <is>
          <t>Notes</t>
        </is>
      </c>
    </row>
    <row r="6" ht="24" customHeight="1">
      <c r="A6" s="119" t="inlineStr">
        <is>
          <t>TD-01</t>
        </is>
      </c>
      <c r="B6" s="138" t="inlineStr">
        <is>
          <t>One complete real tender pack</t>
        </is>
      </c>
      <c r="C6" s="34" t="inlineStr">
        <is>
          <t>Drives almost every functional and accuracy test</t>
        </is>
      </c>
      <c r="D6" s="139" t="inlineStr">
        <is>
          <t>High</t>
        </is>
      </c>
      <c r="E6" s="120" t="n"/>
      <c r="F6" s="121" t="n"/>
      <c r="G6" s="126" t="n"/>
    </row>
    <row r="7" ht="24" customHeight="1">
      <c r="A7" s="119" t="inlineStr">
        <is>
          <t>TD-02</t>
        </is>
      </c>
      <c r="B7" s="138" t="inlineStr">
        <is>
          <t>The priced bill that tender produced</t>
        </is>
      </c>
      <c r="C7" s="34" t="inlineStr">
        <is>
          <t>Answer key for BOQ and rate accuracy</t>
        </is>
      </c>
      <c r="D7" s="139" t="inlineStr">
        <is>
          <t>High</t>
        </is>
      </c>
      <c r="E7" s="120" t="n"/>
      <c r="F7" s="121" t="n"/>
      <c r="G7" s="126" t="n"/>
    </row>
    <row r="8" ht="24" customHeight="1">
      <c r="A8" s="119" t="inlineStr">
        <is>
          <t>TD-03</t>
        </is>
      </c>
      <c r="B8" s="138" t="inlineStr">
        <is>
          <t>3 documents at each of the 5 size bands</t>
        </is>
      </c>
      <c r="C8" s="34" t="inlineStr">
        <is>
          <t>15 files for the document sheet</t>
        </is>
      </c>
      <c r="D8" s="139" t="inlineStr">
        <is>
          <t>High</t>
        </is>
      </c>
      <c r="E8" s="120" t="n"/>
      <c r="F8" s="121" t="n"/>
      <c r="G8" s="126" t="n"/>
    </row>
    <row r="9" ht="24" customHeight="1">
      <c r="A9" s="119" t="inlineStr">
        <is>
          <t>TD-04</t>
        </is>
      </c>
      <c r="B9" s="138" t="inlineStr">
        <is>
          <t>3 each simple / medium / complex / scanned drawings</t>
        </is>
      </c>
      <c r="C9" s="34" t="inlineStr">
        <is>
          <t>12 files for the drawing sheet</t>
        </is>
      </c>
      <c r="D9" s="139" t="inlineStr">
        <is>
          <t>High</t>
        </is>
      </c>
      <c r="E9" s="120" t="n"/>
      <c r="F9" s="121" t="n"/>
      <c r="G9" s="126" t="n"/>
    </row>
    <row r="10" ht="24" customHeight="1">
      <c r="A10" s="119" t="inlineStr">
        <is>
          <t>TD-05</t>
        </is>
      </c>
      <c r="B10" s="138" t="inlineStr">
        <is>
          <t>A drawing measured by a QS</t>
        </is>
      </c>
      <c r="C10" s="34" t="inlineStr">
        <is>
          <t>Answer key for measurement accuracy</t>
        </is>
      </c>
      <c r="D10" s="139" t="inlineStr">
        <is>
          <t>High</t>
        </is>
      </c>
      <c r="E10" s="120" t="n"/>
      <c r="F10" s="121" t="n"/>
      <c r="G10" s="126" t="n"/>
    </row>
    <row r="11" ht="24" customHeight="1">
      <c r="A11" s="119" t="inlineStr">
        <is>
          <t>TD-06</t>
        </is>
      </c>
      <c r="B11" s="138" t="inlineStr">
        <is>
          <t>A specification with clauses marked up</t>
        </is>
      </c>
      <c r="C11" s="34" t="inlineStr">
        <is>
          <t>Answer key for clause extraction</t>
        </is>
      </c>
      <c r="D11" s="140" t="inlineStr">
        <is>
          <t>Medium</t>
        </is>
      </c>
      <c r="E11" s="120" t="n"/>
      <c r="F11" s="121" t="n"/>
      <c r="G11" s="126" t="n"/>
    </row>
    <row r="12" ht="24" customHeight="1">
      <c r="A12" s="119" t="inlineStr">
        <is>
          <t>TD-07</t>
        </is>
      </c>
      <c r="B12" s="138" t="inlineStr">
        <is>
          <t>50 mixed documents labelled by type</t>
        </is>
      </c>
      <c r="C12" s="34" t="inlineStr">
        <is>
          <t>Answer key for classification</t>
        </is>
      </c>
      <c r="D12" s="140" t="inlineStr">
        <is>
          <t>Medium</t>
        </is>
      </c>
      <c r="E12" s="120" t="n"/>
      <c r="F12" s="121" t="n"/>
      <c r="G12" s="126" t="n"/>
    </row>
    <row r="13" ht="24" customHeight="1">
      <c r="A13" s="119" t="inlineStr">
        <is>
          <t>TD-08</t>
        </is>
      </c>
      <c r="B13" s="138" t="inlineStr">
        <is>
          <t>A programme built by hand from the same bill</t>
        </is>
      </c>
      <c r="C13" s="34" t="inlineStr">
        <is>
          <t>Answer key for scheduling</t>
        </is>
      </c>
      <c r="D13" s="140" t="inlineStr">
        <is>
          <t>Medium</t>
        </is>
      </c>
      <c r="E13" s="120" t="n"/>
      <c r="F13" s="121" t="n"/>
      <c r="G13" s="126" t="n"/>
    </row>
    <row r="14" ht="24" customHeight="1">
      <c r="A14" s="119" t="inlineStr">
        <is>
          <t>TD-09</t>
        </is>
      </c>
      <c r="B14" s="138" t="inlineStr">
        <is>
          <t>A second revision of one drawing</t>
        </is>
      </c>
      <c r="C14" s="34" t="inlineStr">
        <is>
          <t>Revision compare and the stale cascade</t>
        </is>
      </c>
      <c r="D14" s="140" t="inlineStr">
        <is>
          <t>Medium</t>
        </is>
      </c>
      <c r="E14" s="120" t="n"/>
      <c r="F14" s="121" t="n"/>
      <c r="G14" s="126" t="n"/>
    </row>
    <row r="15" ht="24" customHeight="1">
      <c r="A15" s="119" t="inlineStr">
        <is>
          <t>TD-10</t>
        </is>
      </c>
      <c r="B15" s="138" t="inlineStr">
        <is>
          <t>Test accounts for each role</t>
        </is>
      </c>
      <c r="C15" s="34" t="inlineStr">
        <is>
          <t>Permission and review-queue tests</t>
        </is>
      </c>
      <c r="D15" s="139" t="inlineStr">
        <is>
          <t>High</t>
        </is>
      </c>
      <c r="E15" s="120" t="n"/>
      <c r="F15" s="121" t="n"/>
      <c r="G15" s="126" t="n"/>
    </row>
  </sheetData>
  <hyperlinks>
    <hyperlink xmlns:r="http://schemas.openxmlformats.org/officeDocument/2006/relationships" ref="A1" r:id="rId1"/>
  </hyperlinks>
  <pageMargins left="0.75" right="0.75" top="1" bottom="1" header="0.5" footer="0.5"/>
  <pageSetup orientation="landscape" fitToWidth="1"/>
</worksheet>
</file>

<file path=xl/worksheets/sheet17.xml><?xml version="1.0" encoding="utf-8"?>
<worksheet xmlns="http://schemas.openxmlformats.org/spreadsheetml/2006/main">
  <sheetPr>
    <tabColor rgb="007A8F97"/>
    <outlinePr summaryBelow="1" summaryRight="1"/>
    <pageSetUpPr fitToPage="1"/>
  </sheetPr>
  <dimension ref="A1:B16"/>
  <sheetViews>
    <sheetView showGridLines="0" workbookViewId="0">
      <pane ySplit="5" topLeftCell="A6" activePane="bottomLeft" state="frozen"/>
      <selection pane="bottomLeft" activeCell="A1" sqref="A1"/>
    </sheetView>
  </sheetViews>
  <sheetFormatPr baseColWidth="8" defaultRowHeight="15"/>
  <cols>
    <col width="32" customWidth="1" min="1" max="1"/>
    <col width="82" customWidth="1" min="2" max="2"/>
  </cols>
  <sheetData>
    <row r="1">
      <c r="A1" s="16" t="inlineStr">
        <is>
          <t>‹ Contents</t>
        </is>
      </c>
    </row>
    <row r="2" ht="26" customHeight="1">
      <c r="A2" s="1" t="inlineStr">
        <is>
          <t>What the terms mean</t>
        </is>
      </c>
    </row>
    <row r="3">
      <c r="A3" s="2" t="inlineStr">
        <is>
          <t>Plain definitions for everything used here.</t>
        </is>
      </c>
    </row>
    <row r="5" ht="32" customHeight="1">
      <c r="A5" s="31" t="inlineStr">
        <is>
          <t>Term</t>
        </is>
      </c>
      <c r="B5" s="31" t="inlineStr">
        <is>
          <t>What it means</t>
        </is>
      </c>
    </row>
    <row r="6" ht="32" customHeight="1">
      <c r="A6" s="141" t="inlineStr">
        <is>
          <t>AI request</t>
        </is>
      </c>
      <c r="B6" s="142" t="inlineStr">
        <is>
          <t>One call from the platform to the AI, for one step of one bid.</t>
        </is>
      </c>
    </row>
    <row r="7" ht="32" customHeight="1">
      <c r="A7" s="141" t="inlineStr">
        <is>
          <t>Job</t>
        </is>
      </c>
      <c r="B7" s="142" t="inlineStr">
        <is>
          <t>One unit of background work. A job may make one AI request, or none.</t>
        </is>
      </c>
    </row>
    <row r="8" ht="32" customHeight="1">
      <c r="A8" s="141" t="inlineStr">
        <is>
          <t>Blocked by privacy rule</t>
        </is>
      </c>
      <c r="B8" s="142" t="inlineStr">
        <is>
          <t>The platform refused to send data to the AI because it was unclassified, and unclassified is treated as confidential. Working as designed.</t>
        </is>
      </c>
    </row>
    <row r="9" ht="32" customHeight="1">
      <c r="A9" s="141" t="inlineStr">
        <is>
          <t>Queue wait</t>
        </is>
      </c>
      <c r="B9" s="142" t="inlineStr">
        <is>
          <t>How long a job sat waiting before it started running.</t>
        </is>
      </c>
    </row>
    <row r="10" ht="32" customHeight="1">
      <c r="A10" s="141" t="inlineStr">
        <is>
          <t>Waiting for approval</t>
        </is>
      </c>
      <c r="B10" s="142" t="inlineStr">
        <is>
          <t>The AI produced a suggestion. Nothing joins the bid until a named person confirms it.</t>
        </is>
      </c>
    </row>
    <row r="11" ht="32" customHeight="1">
      <c r="A11" s="141" t="inlineStr">
        <is>
          <t>Repeat work reused</t>
        </is>
      </c>
      <c r="B11" s="142" t="inlineStr">
        <is>
          <t>When the platform reuses an answer it already produced. Currently switched off.</t>
        </is>
      </c>
    </row>
    <row r="12" ht="32" customHeight="1">
      <c r="A12" s="141" t="inlineStr">
        <is>
          <t>System error</t>
        </is>
      </c>
      <c r="B12" s="142" t="inlineStr">
        <is>
          <t>A genuine fault, as opposed to a deliberate refusal.</t>
        </is>
      </c>
    </row>
    <row r="13" ht="32" customHeight="1">
      <c r="A13" s="141" t="inlineStr">
        <is>
          <t>Tokens</t>
        </is>
      </c>
      <c r="B13" s="142" t="inlineStr">
        <is>
          <t>The unit the AI charges in. Roughly three-quarters of a word each.</t>
        </is>
      </c>
    </row>
    <row r="14" ht="32" customHeight="1">
      <c r="A14" s="141" t="inlineStr">
        <is>
          <t>Usage figures</t>
        </is>
      </c>
      <c r="B14" s="142" t="inlineStr">
        <is>
          <t>How much AI capacity a request consumed. Currently a fixed placeholder, so it cannot be used for cost.</t>
        </is>
      </c>
    </row>
    <row r="15" ht="32" customHeight="1">
      <c r="A15" s="141" t="inlineStr">
        <is>
          <t>Precision</t>
        </is>
      </c>
      <c r="B15" s="142" t="inlineStr">
        <is>
          <t>Of what the system found, how much was actually right.</t>
        </is>
      </c>
    </row>
    <row r="16" ht="32" customHeight="1">
      <c r="A16" s="141" t="inlineStr">
        <is>
          <t>Recall</t>
        </is>
      </c>
      <c r="B16" s="142" t="inlineStr">
        <is>
          <t>Of what was really there, how much the system found.</t>
        </is>
      </c>
    </row>
  </sheetData>
  <hyperlinks>
    <hyperlink xmlns:r="http://schemas.openxmlformats.org/officeDocument/2006/relationships" ref="A1" r:id="rId1"/>
  </hyperlink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2026-08-27T19:34:47Z</dcterms:created>
  <dcterms:modified xmlns:dcterms="http://purl.org/dc/terms/" xmlns:xsi="http://www.w3.org/2001/XMLSchema-instance" xsi:type="dcterms:W3CDTF">2026-08-27T19:34:48Z</dcterms:modified>
</cp:coreProperties>
</file>