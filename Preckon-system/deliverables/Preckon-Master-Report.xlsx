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KIO\Downloads\New\Preckon-system\deliverables\"/>
    </mc:Choice>
  </mc:AlternateContent>
  <xr:revisionPtr revIDLastSave="0" documentId="13_ncr:1_{9B1E3FA3-3E6B-446E-91E7-F796746B86E6}" xr6:coauthVersionLast="47" xr6:coauthVersionMax="47" xr10:uidLastSave="{00000000-0000-0000-0000-000000000000}"/>
  <bookViews>
    <workbookView xWindow="-120" yWindow="-120" windowWidth="29040" windowHeight="15720" activeTab="4" xr2:uid="{00000000-000D-0000-FFFF-FFFF00000000}"/>
  </bookViews>
  <sheets>
    <sheet name="Contents" sheetId="1" r:id="rId1"/>
    <sheet name="Executive summary" sheetId="2" r:id="rId2"/>
    <sheet name="Stage by stage" sheetId="3" r:id="rId3"/>
    <sheet name="Tokens &amp; cost by step" sheetId="4" r:id="rId4"/>
    <sheet name="Tokens &amp; cost by project" sheetId="5" r:id="rId5"/>
    <sheet name="Where work is stuck" sheetId="6" r:id="rId6"/>
    <sheet name="Cost scaling" sheetId="7" r:id="rId7"/>
    <sheet name="Issues &amp; actions" sheetId="8" r:id="rId8"/>
    <sheet name="Test progress" sheetId="9" r:id="rId9"/>
    <sheet name="Test · Functional" sheetId="10" r:id="rId10"/>
    <sheet name="Test · Documents" sheetId="11" r:id="rId11"/>
    <sheet name="Test · Drawings" sheetId="12" r:id="rId12"/>
    <sheet name="Test · Tokens" sheetId="13" r:id="rId13"/>
    <sheet name="Test · Accuracy" sheetId="14" r:id="rId14"/>
    <sheet name="Targets" sheetId="15" r:id="rId15"/>
    <sheet name="Test data needed" sheetId="16" r:id="rId16"/>
    <sheet name="Glossary" sheetId="17" r:id="rId17"/>
  </sheets>
  <definedNames>
    <definedName name="_xlnm._FilterDatabase" localSheetId="2" hidden="1">'Stage by stage'!$A$3:$J$20</definedName>
    <definedName name="_xlnm._FilterDatabase" localSheetId="10" hidden="1">'Test · Documents'!$A$3:$O$18</definedName>
    <definedName name="_xlnm._FilterDatabase" localSheetId="11" hidden="1">'Test · Drawings'!$A$3:$P$15</definedName>
    <definedName name="_xlnm._FilterDatabase" localSheetId="9" hidden="1">'Test · Functional'!$A$3:$K$43</definedName>
  </definedNames>
  <calcPr calcId="191029"/>
</workbook>
</file>

<file path=xl/calcChain.xml><?xml version="1.0" encoding="utf-8"?>
<calcChain xmlns="http://schemas.openxmlformats.org/spreadsheetml/2006/main">
  <c r="J13" i="14" l="1"/>
  <c r="M13" i="14" s="1"/>
  <c r="I13" i="14"/>
  <c r="K13" i="14" s="1"/>
  <c r="J12" i="14"/>
  <c r="M12" i="14" s="1"/>
  <c r="I12" i="14"/>
  <c r="J11" i="14"/>
  <c r="M11" i="14" s="1"/>
  <c r="I11" i="14"/>
  <c r="K11" i="14" s="1"/>
  <c r="J10" i="14"/>
  <c r="M10" i="14" s="1"/>
  <c r="I10" i="14"/>
  <c r="K10" i="14" s="1"/>
  <c r="J9" i="14"/>
  <c r="M9" i="14" s="1"/>
  <c r="I9" i="14"/>
  <c r="J8" i="14"/>
  <c r="M8" i="14" s="1"/>
  <c r="I8" i="14"/>
  <c r="K8" i="14" s="1"/>
  <c r="J7" i="14"/>
  <c r="M7" i="14" s="1"/>
  <c r="I7" i="14"/>
  <c r="K7" i="14" s="1"/>
  <c r="J6" i="14"/>
  <c r="M6" i="14" s="1"/>
  <c r="I6" i="14"/>
  <c r="K6" i="14" s="1"/>
  <c r="J5" i="14"/>
  <c r="M5" i="14" s="1"/>
  <c r="I5" i="14"/>
  <c r="J4" i="14"/>
  <c r="M4" i="14" s="1"/>
  <c r="I4" i="14"/>
  <c r="H21" i="13"/>
  <c r="G20" i="13"/>
  <c r="G19" i="13"/>
  <c r="G18" i="13"/>
  <c r="G17" i="13"/>
  <c r="G16" i="13"/>
  <c r="G15" i="13"/>
  <c r="G14" i="13"/>
  <c r="G13" i="13"/>
  <c r="G12" i="13"/>
  <c r="G11" i="13"/>
  <c r="G10" i="13"/>
  <c r="G9" i="13"/>
  <c r="G8" i="13"/>
  <c r="G7" i="13"/>
  <c r="G6" i="13"/>
  <c r="G5" i="13"/>
  <c r="G4" i="13"/>
  <c r="L15" i="12"/>
  <c r="M15" i="12" s="1"/>
  <c r="L14" i="12"/>
  <c r="M14" i="12" s="1"/>
  <c r="L13" i="12"/>
  <c r="M13" i="12" s="1"/>
  <c r="L12" i="12"/>
  <c r="M12" i="12" s="1"/>
  <c r="L11" i="12"/>
  <c r="M11" i="12" s="1"/>
  <c r="L10" i="12"/>
  <c r="M10" i="12" s="1"/>
  <c r="L9" i="12"/>
  <c r="M9" i="12" s="1"/>
  <c r="L8" i="12"/>
  <c r="M8" i="12" s="1"/>
  <c r="L7" i="12"/>
  <c r="M7" i="12" s="1"/>
  <c r="L6" i="12"/>
  <c r="M6" i="12" s="1"/>
  <c r="L5" i="12"/>
  <c r="M5" i="12" s="1"/>
  <c r="L4" i="12"/>
  <c r="M4" i="12" s="1"/>
  <c r="M18" i="11"/>
  <c r="I18" i="11"/>
  <c r="L18" i="11" s="1"/>
  <c r="M17" i="11"/>
  <c r="I17" i="11"/>
  <c r="L17" i="11" s="1"/>
  <c r="M16" i="11"/>
  <c r="I16" i="11"/>
  <c r="L16" i="11" s="1"/>
  <c r="M15" i="11"/>
  <c r="I15" i="11"/>
  <c r="L15" i="11" s="1"/>
  <c r="M14" i="11"/>
  <c r="I14" i="11"/>
  <c r="L14" i="11" s="1"/>
  <c r="M13" i="11"/>
  <c r="I13" i="11"/>
  <c r="L13" i="11" s="1"/>
  <c r="M12" i="11"/>
  <c r="I12" i="11"/>
  <c r="L12" i="11" s="1"/>
  <c r="M11" i="11"/>
  <c r="I11" i="11"/>
  <c r="L11" i="11" s="1"/>
  <c r="M10" i="11"/>
  <c r="I10" i="11"/>
  <c r="L10" i="11" s="1"/>
  <c r="M9" i="11"/>
  <c r="I9" i="11"/>
  <c r="L9" i="11" s="1"/>
  <c r="M8" i="11"/>
  <c r="I8" i="11"/>
  <c r="L8" i="11" s="1"/>
  <c r="M7" i="11"/>
  <c r="I7" i="11"/>
  <c r="L7" i="11" s="1"/>
  <c r="M6" i="11"/>
  <c r="I6" i="11"/>
  <c r="L6" i="11" s="1"/>
  <c r="M5" i="11"/>
  <c r="I5" i="11"/>
  <c r="L5" i="11" s="1"/>
  <c r="M4" i="11"/>
  <c r="I4" i="11"/>
  <c r="L4" i="11" s="1"/>
  <c r="G5" i="9"/>
  <c r="F5" i="9"/>
  <c r="E5" i="9"/>
  <c r="D5" i="9"/>
  <c r="C5" i="9"/>
  <c r="D14" i="7"/>
  <c r="B14" i="7"/>
  <c r="D13" i="7"/>
  <c r="B13" i="7"/>
  <c r="D12" i="7"/>
  <c r="B12" i="7"/>
  <c r="K4" i="14" l="1"/>
  <c r="K9" i="14"/>
  <c r="K5" i="14"/>
  <c r="K12" i="14"/>
  <c r="I6" i="13"/>
  <c r="J6" i="13"/>
  <c r="C9" i="9"/>
  <c r="D9" i="9"/>
  <c r="E9" i="9"/>
  <c r="F9" i="9"/>
  <c r="G9" i="9"/>
  <c r="I20" i="13"/>
  <c r="J20" i="13"/>
  <c r="J19" i="13"/>
  <c r="I19" i="13"/>
  <c r="I18" i="13"/>
  <c r="J18" i="13"/>
  <c r="I17" i="13"/>
  <c r="J17" i="13"/>
  <c r="I16" i="13"/>
  <c r="J16" i="13"/>
  <c r="J15" i="13"/>
  <c r="I15" i="13"/>
  <c r="J14" i="13"/>
  <c r="I14" i="13"/>
  <c r="J13" i="13"/>
  <c r="I13" i="13"/>
  <c r="J12" i="13"/>
  <c r="I12" i="13"/>
  <c r="J11" i="13"/>
  <c r="I11" i="13"/>
  <c r="J10" i="13"/>
  <c r="I10" i="13"/>
  <c r="J9" i="13"/>
  <c r="I9" i="13"/>
  <c r="I8" i="13"/>
  <c r="J8" i="13"/>
  <c r="I7" i="13"/>
  <c r="J7" i="13"/>
  <c r="G21" i="13"/>
  <c r="J5" i="13"/>
  <c r="I5" i="13"/>
  <c r="J4" i="13"/>
  <c r="I4" i="13"/>
  <c r="E7" i="9"/>
  <c r="C7" i="9"/>
  <c r="D7" i="9"/>
  <c r="G7" i="9"/>
  <c r="F7" i="9"/>
  <c r="E6" i="9"/>
  <c r="C6" i="9"/>
  <c r="D6" i="9"/>
  <c r="F6" i="9"/>
  <c r="G6" i="9"/>
  <c r="H5" i="9"/>
  <c r="C8" i="9" l="1"/>
  <c r="D8" i="9"/>
  <c r="D10" i="9" s="1"/>
  <c r="E8" i="9"/>
  <c r="E10" i="9" s="1"/>
  <c r="F8" i="9"/>
  <c r="F10" i="9" s="1"/>
  <c r="G8" i="9"/>
  <c r="G10" i="9" s="1"/>
  <c r="J21" i="13"/>
  <c r="H7" i="9"/>
  <c r="H6" i="9"/>
  <c r="H9" i="9"/>
  <c r="C10" i="9" l="1"/>
  <c r="H10" i="9" s="1"/>
  <c r="H8" i="9"/>
</calcChain>
</file>

<file path=xl/sharedStrings.xml><?xml version="1.0" encoding="utf-8"?>
<sst xmlns="http://schemas.openxmlformats.org/spreadsheetml/2006/main" count="1032" uniqueCount="661">
  <si>
    <t>Preckon — platform report and test plan</t>
  </si>
  <si>
    <t>Live system as at 27 August 2026.  Prepared 28 August 2026.</t>
  </si>
  <si>
    <t>PART 1</t>
  </si>
  <si>
    <t>What the system shows today</t>
  </si>
  <si>
    <t>Executive summary</t>
  </si>
  <si>
    <t>The story in one page, and what we are asking for</t>
  </si>
  <si>
    <t>Report</t>
  </si>
  <si>
    <t>Stage by stage</t>
  </si>
  <si>
    <t>How each step of the bid performed, with timing</t>
  </si>
  <si>
    <t>Tokens &amp; cost by step</t>
  </si>
  <si>
    <t>Tokens in, out and cost for all 17 steps</t>
  </si>
  <si>
    <t>Tokens &amp; cost by project</t>
  </si>
  <si>
    <t>The same, charged to each of the six projects</t>
  </si>
  <si>
    <t>Where work is stuck</t>
  </si>
  <si>
    <t>The approval queue — 1,367 items waiting</t>
  </si>
  <si>
    <t>Cost scaling</t>
  </si>
  <si>
    <t>Editable scenarios for what a year would cost</t>
  </si>
  <si>
    <t>Issues &amp; actions</t>
  </si>
  <si>
    <t>Seven items, prioritised, with owner and date to fill in</t>
  </si>
  <si>
    <t>PART 2</t>
  </si>
  <si>
    <t>The plan to test it properly</t>
  </si>
  <si>
    <t>Test progress</t>
  </si>
  <si>
    <t>Rolls up from the five test sheets as they are filled in</t>
  </si>
  <si>
    <t>Test</t>
  </si>
  <si>
    <t>Test · Functional</t>
  </si>
  <si>
    <t>40 cases across all modules and the platform</t>
  </si>
  <si>
    <t>Test · Documents</t>
  </si>
  <si>
    <t>15 runs — processing time and tokens by file size</t>
  </si>
  <si>
    <t>Test · Drawings</t>
  </si>
  <si>
    <t>12 runs — simple, medium, complex and scanned</t>
  </si>
  <si>
    <t>Test · Tokens</t>
  </si>
  <si>
    <t>All 17 steps, and the total for one full bid</t>
  </si>
  <si>
    <t>Test · Accuracy</t>
  </si>
  <si>
    <t>10 extraction types, with precision and recall</t>
  </si>
  <si>
    <t>PART 3</t>
  </si>
  <si>
    <t>Reference</t>
  </si>
  <si>
    <t>Targets</t>
  </si>
  <si>
    <t>Every threshold, with today's figure beside it</t>
  </si>
  <si>
    <t>Test data needed</t>
  </si>
  <si>
    <t>The files to prepare before testing can start</t>
  </si>
  <si>
    <t>Glossary</t>
  </si>
  <si>
    <t>Plain definitions for every term used</t>
  </si>
  <si>
    <t>Colour key</t>
  </si>
  <si>
    <t>Cream</t>
  </si>
  <si>
    <t>You fill this in.</t>
  </si>
  <si>
    <t>Grey</t>
  </si>
  <si>
    <t>Calculates itself — do not type over it.</t>
  </si>
  <si>
    <t>Red</t>
  </si>
  <si>
    <t>Needs a decision or is not working.</t>
  </si>
  <si>
    <t>Amber</t>
  </si>
  <si>
    <t>Works, but worth watching.</t>
  </si>
  <si>
    <t>Green</t>
  </si>
  <si>
    <t>Working.</t>
  </si>
  <si>
    <t>‹ Contents</t>
  </si>
  <si>
    <t>The numbers</t>
  </si>
  <si>
    <t>Jobs run</t>
  </si>
  <si>
    <t>Across six projects.</t>
  </si>
  <si>
    <t>AI requests</t>
  </si>
  <si>
    <t>Across 14 active steps.</t>
  </si>
  <si>
    <t>Blocked by privacy rule</t>
  </si>
  <si>
    <t>Refused before reaching the AI. Cost nothing.</t>
  </si>
  <si>
    <t>Total tokens</t>
  </si>
  <si>
    <t>See the caveat below.</t>
  </si>
  <si>
    <t>Total cost</t>
  </si>
  <si>
    <t>Arithmetic on a placeholder. Not spend.</t>
  </si>
  <si>
    <t>Waiting for approval</t>
  </si>
  <si>
    <t>This is where work is stopping.</t>
  </si>
  <si>
    <t>Actually approved</t>
  </si>
  <si>
    <t>Out of 1,367. None rejected either.</t>
  </si>
  <si>
    <t>Repeat work reused</t>
  </si>
  <si>
    <t>The reuse feature is switched off.</t>
  </si>
  <si>
    <t>System errors</t>
  </si>
  <si>
    <t>In pricing and procurement.</t>
  </si>
  <si>
    <t>Before the cost figure is used for anything</t>
  </si>
  <si>
    <t>Every successful request records the same fixed usage — 250 tokens in, 60 out — no matter what it was given. A 0.2 MB document and a 33 MB document both record 310 tokens. The breakdown by step and project is shaped correctly, but the absolute dollars are not real spend.</t>
  </si>
  <si>
    <t>What we are asking for</t>
  </si>
  <si>
    <t xml:space="preserve">     •   A decision on the data-classification policy, so ordinary tender documents can be processed by the AI.</t>
  </si>
  <si>
    <t xml:space="preserve">     •   An owner for the approval queue — 1,367 items are waiting on a person.</t>
  </si>
  <si>
    <t xml:space="preserve">     •   Sign-off on the test plan in Part 2, and the targets that go with it.</t>
  </si>
  <si>
    <t>#</t>
  </si>
  <si>
    <t>Step</t>
  </si>
  <si>
    <t>What it does</t>
  </si>
  <si>
    <t>Requests</t>
  </si>
  <si>
    <t>Blocked</t>
  </si>
  <si>
    <t>Errors</t>
  </si>
  <si>
    <t>Typical time</t>
  </si>
  <si>
    <t>Queue wait</t>
  </si>
  <si>
    <t>Status</t>
  </si>
  <si>
    <t>What to read into it</t>
  </si>
  <si>
    <t>Reading documents</t>
  </si>
  <si>
    <t>Sorts and splits the uploaded tender pack</t>
  </si>
  <si>
    <t>4 sec</t>
  </si>
  <si>
    <t>—</t>
  </si>
  <si>
    <t>Working</t>
  </si>
  <si>
    <t>Tender reading</t>
  </si>
  <si>
    <t>Pulls summary, dates and requirements</t>
  </si>
  <si>
    <t>4 min</t>
  </si>
  <si>
    <t>5 hrs</t>
  </si>
  <si>
    <t>Action</t>
  </si>
  <si>
    <t>Waits far longer than it takes to run.</t>
  </si>
  <si>
    <t>Bid / no-bid decision</t>
  </si>
  <si>
    <t>Recommends whether to pursue</t>
  </si>
  <si>
    <t>6 min</t>
  </si>
  <si>
    <t>Slow enough that a person would notice.</t>
  </si>
  <si>
    <t>Specification reading</t>
  </si>
  <si>
    <t>Extracts clauses from the specification</t>
  </si>
  <si>
    <t>2 sec</t>
  </si>
  <si>
    <t>Drawing indexing</t>
  </si>
  <si>
    <t>Catalogues each drawing sheet</t>
  </si>
  <si>
    <t>Never ran. Nothing produced at all.</t>
  </si>
  <si>
    <t>Drawing take-off</t>
  </si>
  <si>
    <t>Measures quantities off the drawings</t>
  </si>
  <si>
    <t>Bill of quantities</t>
  </si>
  <si>
    <t>Turns measurements into bill lines</t>
  </si>
  <si>
    <t>2 min</t>
  </si>
  <si>
    <t>Pricing</t>
  </si>
  <si>
    <t>Applies rates to the bill lines</t>
  </si>
  <si>
    <t>5 min</t>
  </si>
  <si>
    <t>4 hrs</t>
  </si>
  <si>
    <t>Compliance checks</t>
  </si>
  <si>
    <t>Checks the bid against requirements</t>
  </si>
  <si>
    <t>Risk assessment</t>
  </si>
  <si>
    <t>Flags risks on the bid</t>
  </si>
  <si>
    <t>10 sec</t>
  </si>
  <si>
    <t>Programme / schedule</t>
  </si>
  <si>
    <t>Builds the works programme</t>
  </si>
  <si>
    <t>16 sec</t>
  </si>
  <si>
    <t>37 hrs</t>
  </si>
  <si>
    <t>Procurement packages</t>
  </si>
  <si>
    <t>Groups bill lines into packages</t>
  </si>
  <si>
    <t>8 sec</t>
  </si>
  <si>
    <t>26 hrs</t>
  </si>
  <si>
    <t>Technical narrative</t>
  </si>
  <si>
    <t>Writes the technical submission</t>
  </si>
  <si>
    <t>Proposal writing</t>
  </si>
  <si>
    <t>Drafts the proposal document</t>
  </si>
  <si>
    <t>1 sec</t>
  </si>
  <si>
    <t>Bid approval pack</t>
  </si>
  <si>
    <t>Assembles the approval pack</t>
  </si>
  <si>
    <t>Client clarifications</t>
  </si>
  <si>
    <t>Drafts questions back to the client</t>
  </si>
  <si>
    <t>Copilot answers</t>
  </si>
  <si>
    <t>Answers questions people ask</t>
  </si>
  <si>
    <t>Tokens in</t>
  </si>
  <si>
    <t>Tokens out</t>
  </si>
  <si>
    <t>Cost</t>
  </si>
  <si>
    <t>Cost / request</t>
  </si>
  <si>
    <t>% of cost</t>
  </si>
  <si>
    <t>Running cost</t>
  </si>
  <si>
    <t>TOTAL</t>
  </si>
  <si>
    <t>Reading documents is 36% of all cost on its own — it runs once per uploaded file, so it scales with the size of the tender pack rather than the number of bids. Blocked requests cost nothing, so the true cost per completed request is roughly double the column shown. Blended rate: $0.1290 per 1,000 tokens.</t>
  </si>
  <si>
    <t>Tokens and cost — by project</t>
  </si>
  <si>
    <t>Every request charged to the project that raised it.</t>
  </si>
  <si>
    <t>Project</t>
  </si>
  <si>
    <t>Note</t>
  </si>
  <si>
    <t>DV Quaters</t>
  </si>
  <si>
    <t>DV Quaters Demo</t>
  </si>
  <si>
    <t>venkat1</t>
  </si>
  <si>
    <t>Sowbelly Gulch Project</t>
  </si>
  <si>
    <t>Both system errors here — and it carries the real drawings.</t>
  </si>
  <si>
    <t>venkat02</t>
  </si>
  <si>
    <t>Shruthi2</t>
  </si>
  <si>
    <t>Four of the six are test or demo projects. Cost per request is almost identical across all six — another way of seeing that usage is recorded as a fixed number rather than measured.</t>
  </si>
  <si>
    <t>What is waiting</t>
  </si>
  <si>
    <t>Waiting</t>
  </si>
  <si>
    <t>Approved</t>
  </si>
  <si>
    <t>Approved %</t>
  </si>
  <si>
    <t>Bill of quantity lines</t>
  </si>
  <si>
    <t>Biggest queue in the system.</t>
  </si>
  <si>
    <t>Priced lines</t>
  </si>
  <si>
    <t>Nothing decided either way.</t>
  </si>
  <si>
    <t>Drawing measurements</t>
  </si>
  <si>
    <t>Specification clauses</t>
  </si>
  <si>
    <t>Programme activities</t>
  </si>
  <si>
    <t>Risks</t>
  </si>
  <si>
    <t>Compliance items</t>
  </si>
  <si>
    <t>Tender summaries</t>
  </si>
  <si>
    <t>Drawing indexes</t>
  </si>
  <si>
    <t>Proposal documents</t>
  </si>
  <si>
    <t>Being worked.</t>
  </si>
  <si>
    <t>Bid approvals</t>
  </si>
  <si>
    <t>Bid decisions</t>
  </si>
  <si>
    <t>Client queries</t>
  </si>
  <si>
    <t>Why this matters more than anything else here</t>
  </si>
  <si>
    <t>Everything upstream is producing work. Nothing downstream is moving. That nothing has been rejected either suggests an unworked queue rather than people refusing the output — worth confirming before it is read as a quality signal.</t>
  </si>
  <si>
    <t>What this scales to</t>
  </si>
  <si>
    <t>Straight arithmetic. Change the cream cells and the rest follows.</t>
  </si>
  <si>
    <t>Assumptions — edit these</t>
  </si>
  <si>
    <t>Cost per project, as measured</t>
  </si>
  <si>
    <t>Projects per year</t>
  </si>
  <si>
    <t>Uplift once usage is measured</t>
  </si>
  <si>
    <t>x</t>
  </si>
  <si>
    <t>Result</t>
  </si>
  <si>
    <t>Scenario</t>
  </si>
  <si>
    <t>Per project</t>
  </si>
  <si>
    <t>Per year</t>
  </si>
  <si>
    <t>What it assumes</t>
  </si>
  <si>
    <t>As measured today</t>
  </si>
  <si>
    <t>The placeholder usage figure, unchanged.</t>
  </si>
  <si>
    <t>With usage measured properly</t>
  </si>
  <si>
    <t>Assumes real documents use the uplift above. A guess until the counter is fixed.</t>
  </si>
  <si>
    <t>If blocked requests also ran</t>
  </si>
  <si>
    <t>Half of all requests are currently refused and cost nothing.</t>
  </si>
  <si>
    <t>Rows two and three are scenarios, not forecasts. Until the usage counter records what a request actually consumed, nobody can put a defensible number on what a real bid costs to run.</t>
  </si>
  <si>
    <t>Issue</t>
  </si>
  <si>
    <t>What it means</t>
  </si>
  <si>
    <t>Priority</t>
  </si>
  <si>
    <t>Suggested next step</t>
  </si>
  <si>
    <t>Owner</t>
  </si>
  <si>
    <t>By when</t>
  </si>
  <si>
    <t>1</t>
  </si>
  <si>
    <t>Nobody is approving what the system produces</t>
  </si>
  <si>
    <t>1,367 items waiting, 8 approved, none rejected. Until that queue is worked, nothing the platform produces turns into a bid.</t>
  </si>
  <si>
    <t>High</t>
  </si>
  <si>
    <t>Find out whether this is staffing, training, or a screen people cannot find.</t>
  </si>
  <si>
    <t>Not started</t>
  </si>
  <si>
    <t>2</t>
  </si>
  <si>
    <t>Half the AI requests are blocked by our own privacy rule</t>
  </si>
  <si>
    <t>44 of 88 refused before reaching the AI. Anything unclassified is treated as confidential and cannot leave our servers. Correct behaviour, but it means the AI is barely exercised.</t>
  </si>
  <si>
    <t>Decide the data-classification policy for ordinary tender documents.</t>
  </si>
  <si>
    <t>3</t>
  </si>
  <si>
    <t>The cost and usage figures are not real</t>
  </si>
  <si>
    <t>Every request records the same fixed usage regardless of the document. The cost total is arithmetic on that constant.</t>
  </si>
  <si>
    <t>Do not budget from these figures. The engineering fix is one line per call site.</t>
  </si>
  <si>
    <t>4</t>
  </si>
  <si>
    <t>Three stages never ran at all</t>
  </si>
  <si>
    <t>Drawing take-off, drawing indexing and the technical narrative record zero activity on every attempt. Drawing measurements cannot be produced right now.</t>
  </si>
  <si>
    <t>Confirm whether these are switched off or failing silently.</t>
  </si>
  <si>
    <t>5</t>
  </si>
  <si>
    <t>Some jobs sit in a queue for hours</t>
  </si>
  <si>
    <t>Programme jobs wait 37 hours on average before starting, procurement 26. The work itself takes seconds.</t>
  </si>
  <si>
    <t>Medium</t>
  </si>
  <si>
    <t>Check whether the queue worker is keeping up or stalling.</t>
  </si>
  <si>
    <t>6</t>
  </si>
  <si>
    <t>Repeat work is not being reused</t>
  </si>
  <si>
    <t>The reuse feature is switched off, so every request starts from scratch.</t>
  </si>
  <si>
    <t>Turn on the response cache. Known outstanding item.</t>
  </si>
  <si>
    <t>7</t>
  </si>
  <si>
    <t>Three measurements are not being recorded</t>
  </si>
  <si>
    <t>How long each AI step took, how confident it was, and whether its output validated are all missing.</t>
  </si>
  <si>
    <t>Low</t>
  </si>
  <si>
    <t>Small change — the fields exist, they are simply not written.</t>
  </si>
  <si>
    <t>Area</t>
  </si>
  <si>
    <t>Tests</t>
  </si>
  <si>
    <t>Pass</t>
  </si>
  <si>
    <t>Fail</t>
  </si>
  <si>
    <t>% done</t>
  </si>
  <si>
    <t>Sign-off</t>
  </si>
  <si>
    <t>Role</t>
  </si>
  <si>
    <t>Name</t>
  </si>
  <si>
    <t>Date</t>
  </si>
  <si>
    <t>Decision</t>
  </si>
  <si>
    <t>Test lead</t>
  </si>
  <si>
    <t>Engineering lead</t>
  </si>
  <si>
    <t>Product / manager</t>
  </si>
  <si>
    <t>ID</t>
  </si>
  <si>
    <t>Module</t>
  </si>
  <si>
    <t>Feature</t>
  </si>
  <si>
    <t>What to do</t>
  </si>
  <si>
    <t>What should happen</t>
  </si>
  <si>
    <t>What actually happened</t>
  </si>
  <si>
    <t>Tester</t>
  </si>
  <si>
    <t>Notes / ticket</t>
  </si>
  <si>
    <t>TEN-01</t>
  </si>
  <si>
    <t>TenderLogix</t>
  </si>
  <si>
    <t>Tender upload</t>
  </si>
  <si>
    <t>Upload a multi-file tender pack</t>
  </si>
  <si>
    <t>All files accepted, listed and queued</t>
  </si>
  <si>
    <t>TEN-02</t>
  </si>
  <si>
    <t>Summary extraction</t>
  </si>
  <si>
    <t>Open the tender stage</t>
  </si>
  <si>
    <t>Client, reference, format and deadline all populated</t>
  </si>
  <si>
    <t>TEN-03</t>
  </si>
  <si>
    <t>Requirements</t>
  </si>
  <si>
    <t>Check the requirement register</t>
  </si>
  <si>
    <t>Each requirement listed with its source clause</t>
  </si>
  <si>
    <t>TEN-04</t>
  </si>
  <si>
    <t>Deadline override</t>
  </si>
  <si>
    <t>Change the deadline by hand</t>
  </si>
  <si>
    <t>Saved, and the change is on the audit trail</t>
  </si>
  <si>
    <t>TEN-05</t>
  </si>
  <si>
    <t>Bid / no-bid</t>
  </si>
  <si>
    <t>Run bid qualification</t>
  </si>
  <si>
    <t>A recommendation with reasons, awaiting a decision</t>
  </si>
  <si>
    <t>DOC-01</t>
  </si>
  <si>
    <t>DocLogix</t>
  </si>
  <si>
    <t>Register</t>
  </si>
  <si>
    <t>Upload 10 mixed documents</t>
  </si>
  <si>
    <t>All appear with type, revision and date</t>
  </si>
  <si>
    <t>DOC-02</t>
  </si>
  <si>
    <t>Revisions</t>
  </si>
  <si>
    <t>Upload a second revision</t>
  </si>
  <si>
    <t>Superseded kept, latest marked current</t>
  </si>
  <si>
    <t>DOC-03</t>
  </si>
  <si>
    <t>Transmittal</t>
  </si>
  <si>
    <t>Issue to two recipients</t>
  </si>
  <si>
    <t>Recorded with contents and recipients</t>
  </si>
  <si>
    <t>DOC-04</t>
  </si>
  <si>
    <t>Revision compare</t>
  </si>
  <si>
    <t>Compare two revisions</t>
  </si>
  <si>
    <t>Differences listed clearly</t>
  </si>
  <si>
    <t>DOC-05</t>
  </si>
  <si>
    <t>Search</t>
  </si>
  <si>
    <t>Search a phrase inside a document</t>
  </si>
  <si>
    <t>Document returned with the matching passage</t>
  </si>
  <si>
    <t>DRW-01</t>
  </si>
  <si>
    <t>DrawLogix</t>
  </si>
  <si>
    <t>Upload PDF</t>
  </si>
  <si>
    <t>Upload a multi-sheet drawing PDF</t>
  </si>
  <si>
    <t>Each sheet listed with its sheet number</t>
  </si>
  <si>
    <t>DRW-02</t>
  </si>
  <si>
    <t>Upload CAD</t>
  </si>
  <si>
    <t>Upload a DWG or DXF</t>
  </si>
  <si>
    <t>Layers and entities read; opens in the viewer</t>
  </si>
  <si>
    <t>DRW-03</t>
  </si>
  <si>
    <t>Drawing index</t>
  </si>
  <si>
    <t>Check the index after processing</t>
  </si>
  <si>
    <t>Entity and layer count populated for every sheet</t>
  </si>
  <si>
    <t>DRW-04</t>
  </si>
  <si>
    <t>Take-off</t>
  </si>
  <si>
    <t>Run take-off on a known drawing</t>
  </si>
  <si>
    <t>Measurements produced, each naming sheet and location</t>
  </si>
  <si>
    <t>DRW-05</t>
  </si>
  <si>
    <t>Measurement trace</t>
  </si>
  <si>
    <t>Click a measurement</t>
  </si>
  <si>
    <t>Drawing opens at the region it came from</t>
  </si>
  <si>
    <t>DRW-06</t>
  </si>
  <si>
    <t>BIM Studio draw</t>
  </si>
  <si>
    <t>Ask for a simple floor plan</t>
  </si>
  <si>
    <t>All requested elements placed, not just one</t>
  </si>
  <si>
    <t>DRW-07</t>
  </si>
  <si>
    <t>Upload a revised drawing</t>
  </si>
  <si>
    <t>Changes between revisions highlighted</t>
  </si>
  <si>
    <t>QNT-01</t>
  </si>
  <si>
    <t>QuantLogix</t>
  </si>
  <si>
    <t>BOQ generation</t>
  </si>
  <si>
    <t>Generate a bill from measurements</t>
  </si>
  <si>
    <t>Lines produced, grouped, units normalised</t>
  </si>
  <si>
    <t>QNT-02</t>
  </si>
  <si>
    <t>Trace to source</t>
  </si>
  <si>
    <t>Press Trace on a bill line</t>
  </si>
  <si>
    <t>Measurement, sheet and layer shown</t>
  </si>
  <si>
    <t>QNT-03</t>
  </si>
  <si>
    <t>Correction cascade</t>
  </si>
  <si>
    <t>Change a confirmed measurement</t>
  </si>
  <si>
    <t>Downstream marked stale with a re-run list</t>
  </si>
  <si>
    <t>QNT-04</t>
  </si>
  <si>
    <t>Reconciliation</t>
  </si>
  <si>
    <t>Compare to a supplied bill</t>
  </si>
  <si>
    <t>Differences listed line by line</t>
  </si>
  <si>
    <t>CST-01</t>
  </si>
  <si>
    <t>CostLogix</t>
  </si>
  <si>
    <t>Rate application</t>
  </si>
  <si>
    <t>Price a bill from the library</t>
  </si>
  <si>
    <t>Every line priced; each rate names its origin</t>
  </si>
  <si>
    <t>CST-02</t>
  </si>
  <si>
    <t>Rate override</t>
  </si>
  <si>
    <t>Override one rate</t>
  </si>
  <si>
    <t>Applied, original kept, change audited</t>
  </si>
  <si>
    <t>CST-03</t>
  </si>
  <si>
    <t>Estimate build-up</t>
  </si>
  <si>
    <t>Open the estimate</t>
  </si>
  <si>
    <t>Bill, overheads, contingency and total, all adjustable</t>
  </si>
  <si>
    <t>CST-04</t>
  </si>
  <si>
    <t>Export</t>
  </si>
  <si>
    <t>Export the estimate</t>
  </si>
  <si>
    <t>Opens in Excel with header details filled</t>
  </si>
  <si>
    <t>SCH-01</t>
  </si>
  <si>
    <t>ScheduleLogix</t>
  </si>
  <si>
    <t>Programme</t>
  </si>
  <si>
    <t>Build from the bill</t>
  </si>
  <si>
    <t>Activities with durations and dependencies</t>
  </si>
  <si>
    <t>SCH-02</t>
  </si>
  <si>
    <t>Critical path</t>
  </si>
  <si>
    <t>Check the critical path</t>
  </si>
  <si>
    <t>Critical activities drive the end date</t>
  </si>
  <si>
    <t>SCH-03</t>
  </si>
  <si>
    <t>Calendar</t>
  </si>
  <si>
    <t>Set a Gulf working week</t>
  </si>
  <si>
    <t>Durations recalculate</t>
  </si>
  <si>
    <t>SCH-04</t>
  </si>
  <si>
    <t>Baseline</t>
  </si>
  <si>
    <t>Set then move a baseline</t>
  </si>
  <si>
    <t>An unexplained move is refused</t>
  </si>
  <si>
    <t>PRC-01</t>
  </si>
  <si>
    <t>ProcureLogix</t>
  </si>
  <si>
    <t>Packages</t>
  </si>
  <si>
    <t>Group bill lines into packages</t>
  </si>
  <si>
    <t>Packages with value, lines and lead time</t>
  </si>
  <si>
    <t>PRC-02</t>
  </si>
  <si>
    <t>Package trace</t>
  </si>
  <si>
    <t>Open a package</t>
  </si>
  <si>
    <t>The bill lines it covers are listed</t>
  </si>
  <si>
    <t>NAR-01</t>
  </si>
  <si>
    <t>NarrativeLogix</t>
  </si>
  <si>
    <t>Narrative</t>
  </si>
  <si>
    <t>Generate the technical narrative</t>
  </si>
  <si>
    <t>Draft from confirmed records only</t>
  </si>
  <si>
    <t>PLT-01</t>
  </si>
  <si>
    <t>Platform</t>
  </si>
  <si>
    <t>Login</t>
  </si>
  <si>
    <t>Sign in as each role</t>
  </si>
  <si>
    <t>Correct workspace and permissions</t>
  </si>
  <si>
    <t>PLT-02</t>
  </si>
  <si>
    <t>Review queue</t>
  </si>
  <si>
    <t>Confirm one, reject another</t>
  </si>
  <si>
    <t>Both recorded against the tester's name</t>
  </si>
  <si>
    <t>PLT-03</t>
  </si>
  <si>
    <t>Permission gate</t>
  </si>
  <si>
    <t>Sign in without confirm rights</t>
  </si>
  <si>
    <t>Button hidden; API refuses the same action</t>
  </si>
  <si>
    <t>PLT-04</t>
  </si>
  <si>
    <t>Audit chain</t>
  </si>
  <si>
    <t>Press Verify audit chain</t>
  </si>
  <si>
    <t>Chain reports clean</t>
  </si>
  <si>
    <t>PLT-05</t>
  </si>
  <si>
    <t>Tenant isolation</t>
  </si>
  <si>
    <t>Open another tenant's project by ID</t>
  </si>
  <si>
    <t>Refused; nothing returned</t>
  </si>
  <si>
    <t>PLT-06</t>
  </si>
  <si>
    <t>Language</t>
  </si>
  <si>
    <t>Switch to Arabic</t>
  </si>
  <si>
    <t>Full RTL layout, same records and permissions</t>
  </si>
  <si>
    <t>PLT-07</t>
  </si>
  <si>
    <t>Autopilot</t>
  </si>
  <si>
    <t>Run a bid end to end</t>
  </si>
  <si>
    <t>Every stage advances; start/stop/finish audited</t>
  </si>
  <si>
    <t>PLT-08</t>
  </si>
  <si>
    <t>Blocked request</t>
  </si>
  <si>
    <t>Process an unclassified document</t>
  </si>
  <si>
    <t>Refused with a clear message, not silence</t>
  </si>
  <si>
    <t>Size band</t>
  </si>
  <si>
    <t>File used</t>
  </si>
  <si>
    <t>Size MB</t>
  </si>
  <si>
    <t>Pages</t>
  </si>
  <si>
    <t>Target sec</t>
  </si>
  <si>
    <t>Run 1</t>
  </si>
  <si>
    <t>Run 2</t>
  </si>
  <si>
    <t>Avg sec</t>
  </si>
  <si>
    <t>Tokens/page</t>
  </si>
  <si>
    <t>Notes</t>
  </si>
  <si>
    <t>DOC-A1</t>
  </si>
  <si>
    <t>&lt; 0.5 MB</t>
  </si>
  <si>
    <t>DOC-A2</t>
  </si>
  <si>
    <t>DOC-A3</t>
  </si>
  <si>
    <t>DOC-B1</t>
  </si>
  <si>
    <t>0.5 – 2 MB</t>
  </si>
  <si>
    <t>DOC-B2</t>
  </si>
  <si>
    <t>DOC-B3</t>
  </si>
  <si>
    <t>DOC-C1</t>
  </si>
  <si>
    <t>2 – 8 MB</t>
  </si>
  <si>
    <t>DOC-C2</t>
  </si>
  <si>
    <t>DOC-C3</t>
  </si>
  <si>
    <t>DOC-D1</t>
  </si>
  <si>
    <t>8 – 32 MB</t>
  </si>
  <si>
    <t>DOC-D2</t>
  </si>
  <si>
    <t>DOC-D3</t>
  </si>
  <si>
    <t>DOC-E1</t>
  </si>
  <si>
    <t>32 MB +</t>
  </si>
  <si>
    <t>DOC-E2</t>
  </si>
  <si>
    <t>DOC-E3</t>
  </si>
  <si>
    <t>Today's live figures get FASTER as files get bigger — 3.9 s under 0.5 MB but 2.4 s above 32 MB. That is not credible; understand why before treating any of it as a baseline. Tokens per page is the column to watch: if it is flat across every band, the counter is still a placeholder.</t>
  </si>
  <si>
    <t>Complexity</t>
  </si>
  <si>
    <t>Drawing used</t>
  </si>
  <si>
    <t>Format</t>
  </si>
  <si>
    <t>Sheets</t>
  </si>
  <si>
    <t>Layers</t>
  </si>
  <si>
    <t>Entities</t>
  </si>
  <si>
    <t>Tokens</t>
  </si>
  <si>
    <t>DRW-SIM1</t>
  </si>
  <si>
    <t>Simple</t>
  </si>
  <si>
    <t>Single sheet, one discipline, under 500 entities</t>
  </si>
  <si>
    <t>DRW-SIM2</t>
  </si>
  <si>
    <t>DRW-SIM3</t>
  </si>
  <si>
    <t>DRW-MED1</t>
  </si>
  <si>
    <t>2–5 sheets, 2–3 disciplines, 500–5,000 entities</t>
  </si>
  <si>
    <t>DRW-MED2</t>
  </si>
  <si>
    <t>DRW-MED3</t>
  </si>
  <si>
    <t>DRW-CPX1</t>
  </si>
  <si>
    <t>Complex</t>
  </si>
  <si>
    <t>6+ sheets, multi-discipline, over 5,000 entities</t>
  </si>
  <si>
    <t>DRW-CPX2</t>
  </si>
  <si>
    <t>DRW-CPX3</t>
  </si>
  <si>
    <t>DRW-SCN1</t>
  </si>
  <si>
    <t>Scanned</t>
  </si>
  <si>
    <t>Raster PDF with no vector data at all</t>
  </si>
  <si>
    <t>DRW-SCN2</t>
  </si>
  <si>
    <t>DRW-SCN3</t>
  </si>
  <si>
    <t>Record entities and layers for every drawing — they turn "it was slow" into "it was slow at 40,000 entities". The live system returns no entity or layer count at all today, so read them from the CAD file by hand.</t>
  </si>
  <si>
    <t>Runs</t>
  </si>
  <si>
    <t>Avg in</t>
  </si>
  <si>
    <t>Avg out</t>
  </si>
  <si>
    <t>Avg total</t>
  </si>
  <si>
    <t>Target</t>
  </si>
  <si>
    <t>Cost / run</t>
  </si>
  <si>
    <t>Worst run</t>
  </si>
  <si>
    <t>TOK-01</t>
  </si>
  <si>
    <t>TOK-02</t>
  </si>
  <si>
    <t>TOK-03</t>
  </si>
  <si>
    <t>TOK-04</t>
  </si>
  <si>
    <t>TOK-05</t>
  </si>
  <si>
    <t>TOK-06</t>
  </si>
  <si>
    <t>TOK-07</t>
  </si>
  <si>
    <t>TOK-08</t>
  </si>
  <si>
    <t>TOK-09</t>
  </si>
  <si>
    <t>TOK-10</t>
  </si>
  <si>
    <t>TOK-11</t>
  </si>
  <si>
    <t>TOK-12</t>
  </si>
  <si>
    <t>TOK-13</t>
  </si>
  <si>
    <t>TOK-14</t>
  </si>
  <si>
    <t>TOK-15</t>
  </si>
  <si>
    <t>TOK-16</t>
  </si>
  <si>
    <t>TOK-17</t>
  </si>
  <si>
    <t>TOTAL — one full bid</t>
  </si>
  <si>
    <t>That total is the number the manager wants: the token cost of one complete bid, to multiply by bids per year. Targets in column H are first guesses — replace them once one real bid has been measured.</t>
  </si>
  <si>
    <t>What is extracted</t>
  </si>
  <si>
    <t>Test set used</t>
  </si>
  <si>
    <t>In truth</t>
  </si>
  <si>
    <t>Found</t>
  </si>
  <si>
    <t>Correct</t>
  </si>
  <si>
    <t>Wrong</t>
  </si>
  <si>
    <t>Missed</t>
  </si>
  <si>
    <t>Precision</t>
  </si>
  <si>
    <t>Recall</t>
  </si>
  <si>
    <t>F1</t>
  </si>
  <si>
    <t>Target recall</t>
  </si>
  <si>
    <t>ACC-01</t>
  </si>
  <si>
    <t>Tender requirements</t>
  </si>
  <si>
    <t>One real tender, marked by an estimator</t>
  </si>
  <si>
    <t>ACC-02</t>
  </si>
  <si>
    <t>Submission dates and format</t>
  </si>
  <si>
    <t>Same tender</t>
  </si>
  <si>
    <t>ACC-03</t>
  </si>
  <si>
    <t>One spec, clauses marked by hand</t>
  </si>
  <si>
    <t>ACC-04</t>
  </si>
  <si>
    <t>Document classification</t>
  </si>
  <si>
    <t>50 mixed documents, labelled by hand</t>
  </si>
  <si>
    <t>ACC-05</t>
  </si>
  <si>
    <t>Drawing sheet index</t>
  </si>
  <si>
    <t>One drawing set, sheets listed by hand</t>
  </si>
  <si>
    <t>ACC-06</t>
  </si>
  <si>
    <t>One drawing measured by a QS</t>
  </si>
  <si>
    <t>ACC-07</t>
  </si>
  <si>
    <t>BOQ line generation</t>
  </si>
  <si>
    <t>Bill produced by hand from the same drawings</t>
  </si>
  <si>
    <t>ACC-08</t>
  </si>
  <si>
    <t>Rate matching</t>
  </si>
  <si>
    <t>Bill priced by hand from the same library</t>
  </si>
  <si>
    <t>ACC-09</t>
  </si>
  <si>
    <t>Programme built by hand from the same bill</t>
  </si>
  <si>
    <t>ACC-10</t>
  </si>
  <si>
    <t>Risk identification</t>
  </si>
  <si>
    <t>Risks listed by a bid manager</t>
  </si>
  <si>
    <t>What the columns mean</t>
  </si>
  <si>
    <t>How many there actually are, counted by a person.</t>
  </si>
  <si>
    <t>How many the system returned.</t>
  </si>
  <si>
    <t>How many of those found were right.</t>
  </si>
  <si>
    <t>Of what it found, how much was right.</t>
  </si>
  <si>
    <t>Of what was there, how much it found.</t>
  </si>
  <si>
    <t>The two combined into one number.</t>
  </si>
  <si>
    <t>Recall matters more than precision. A requirement the system invents gets caught in review; one it misses ends up in a contract nobody priced.</t>
  </si>
  <si>
    <t>Measure</t>
  </si>
  <si>
    <t>Proposed target</t>
  </si>
  <si>
    <t>Today</t>
  </si>
  <si>
    <t>Basis</t>
  </si>
  <si>
    <t>Document &lt; 0.5 MB</t>
  </si>
  <si>
    <t>3.9 sec</t>
  </si>
  <si>
    <t>Comfortably met.</t>
  </si>
  <si>
    <t>Document 0.5 – 2 MB</t>
  </si>
  <si>
    <t>30 sec</t>
  </si>
  <si>
    <t>10.5 sec</t>
  </si>
  <si>
    <t>Met.</t>
  </si>
  <si>
    <t>Document 2 – 8 MB</t>
  </si>
  <si>
    <t>90 sec</t>
  </si>
  <si>
    <t>9.4 sec</t>
  </si>
  <si>
    <t>Document 8 – 32 MB</t>
  </si>
  <si>
    <t>300 sec</t>
  </si>
  <si>
    <t>5.4 sec</t>
  </si>
  <si>
    <t>Suspiciously fast — verify.</t>
  </si>
  <si>
    <t>Document 32 MB +</t>
  </si>
  <si>
    <t>600 sec</t>
  </si>
  <si>
    <t>2.4 sec</t>
  </si>
  <si>
    <t>Faster than a small file. Not credible.</t>
  </si>
  <si>
    <t>Drawing — simple</t>
  </si>
  <si>
    <t>not measured</t>
  </si>
  <si>
    <t>No timing recorded today.</t>
  </si>
  <si>
    <t>Drawing — medium</t>
  </si>
  <si>
    <t>120 sec</t>
  </si>
  <si>
    <t>Drawing — complex</t>
  </si>
  <si>
    <t>Queue wait, any job</t>
  </si>
  <si>
    <t>60 sec</t>
  </si>
  <si>
    <t>up to 37 hrs</t>
  </si>
  <si>
    <t>Worst case is the programme step.</t>
  </si>
  <si>
    <t>Tokens, one full bid</t>
  </si>
  <si>
    <t>90,000</t>
  </si>
  <si>
    <t>Sum of the step targets.</t>
  </si>
  <si>
    <t>Cost, one full bid</t>
  </si>
  <si>
    <t>$11.61</t>
  </si>
  <si>
    <t>$0.56 placeholder</t>
  </si>
  <si>
    <t>90,000 tokens at $0.129 / 1k.</t>
  </si>
  <si>
    <t>Recall — requirements</t>
  </si>
  <si>
    <t>90%</t>
  </si>
  <si>
    <t>A missed requirement is a priced risk.</t>
  </si>
  <si>
    <t>Recall — measurements</t>
  </si>
  <si>
    <t>Within ±2% on quantity.</t>
  </si>
  <si>
    <t>Recall — BOQ lines</t>
  </si>
  <si>
    <t>85%</t>
  </si>
  <si>
    <t>Against a hand-built bill.</t>
  </si>
  <si>
    <t>Functional tests passing</t>
  </si>
  <si>
    <t>100% of High</t>
  </si>
  <si>
    <t>High priority must all pass.</t>
  </si>
  <si>
    <t>What is needed</t>
  </si>
  <si>
    <t>Why</t>
  </si>
  <si>
    <t>Ready by</t>
  </si>
  <si>
    <t>TD-01</t>
  </si>
  <si>
    <t>One complete real tender pack</t>
  </si>
  <si>
    <t>Drives almost every functional and accuracy test</t>
  </si>
  <si>
    <t>TD-02</t>
  </si>
  <si>
    <t>The priced bill that tender produced</t>
  </si>
  <si>
    <t>Answer key for BOQ and rate accuracy</t>
  </si>
  <si>
    <t>TD-03</t>
  </si>
  <si>
    <t>3 documents at each of the 5 size bands</t>
  </si>
  <si>
    <t>15 files for the document sheet</t>
  </si>
  <si>
    <t>TD-04</t>
  </si>
  <si>
    <t>3 each simple / medium / complex / scanned drawings</t>
  </si>
  <si>
    <t>12 files for the drawing sheet</t>
  </si>
  <si>
    <t>TD-05</t>
  </si>
  <si>
    <t>A drawing measured by a QS</t>
  </si>
  <si>
    <t>Answer key for measurement accuracy</t>
  </si>
  <si>
    <t>TD-06</t>
  </si>
  <si>
    <t>A specification with clauses marked up</t>
  </si>
  <si>
    <t>Answer key for clause extraction</t>
  </si>
  <si>
    <t>TD-07</t>
  </si>
  <si>
    <t>50 mixed documents labelled by type</t>
  </si>
  <si>
    <t>Answer key for classification</t>
  </si>
  <si>
    <t>TD-08</t>
  </si>
  <si>
    <t>A programme built by hand from the same bill</t>
  </si>
  <si>
    <t>Answer key for scheduling</t>
  </si>
  <si>
    <t>TD-09</t>
  </si>
  <si>
    <t>A second revision of one drawing</t>
  </si>
  <si>
    <t>Revision compare and the stale cascade</t>
  </si>
  <si>
    <t>TD-10</t>
  </si>
  <si>
    <t>Test accounts for each role</t>
  </si>
  <si>
    <t>Permission and review-queue tests</t>
  </si>
  <si>
    <t>What the terms mean</t>
  </si>
  <si>
    <t>Term</t>
  </si>
  <si>
    <t>AI request</t>
  </si>
  <si>
    <t>One call from the platform to the AI, for one step of one bid.</t>
  </si>
  <si>
    <t>Job</t>
  </si>
  <si>
    <t>One unit of background work. A job may make one AI request, or none.</t>
  </si>
  <si>
    <t>The platform refused to send data to the AI because it was unclassified, and unclassified is treated as confidential. Working as designed.</t>
  </si>
  <si>
    <t>How long a job sat waiting before it started running.</t>
  </si>
  <si>
    <t>The AI produced a suggestion. Nothing joins the bid until a named person confirms it.</t>
  </si>
  <si>
    <t>When the platform reuses an answer it already produced. Currently switched off.</t>
  </si>
  <si>
    <t>System error</t>
  </si>
  <si>
    <t>A genuine fault, as opposed to a deliberate refusal.</t>
  </si>
  <si>
    <t>The unit the AI charges in. Roughly three-quarters of a word each.</t>
  </si>
  <si>
    <t>Usage figures</t>
  </si>
  <si>
    <t>How much AI capacity a request consumed. Currently a fixed placeholder, so it cannot be used for cost.</t>
  </si>
  <si>
    <t>Of what the system found, how much was actually right.</t>
  </si>
  <si>
    <t>Of what was really there, how much the system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</si>
</sst>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quot;$&quot;#,##0.0000"/>
    <numFmt numFmtId="166" formatCode="0.0%"/>
    <numFmt numFmtId="167" formatCode="#,##0.0"/>
  </numFmts>
  <fonts count="21" x14ac:knownFonts="1">
    <font>
      <sz val="11"/>
      <color theme="1"/>
      <name val="Calibri"/>
      <family val="2"/>
      <scheme val="minor"/>
    </font>
    <font>
      <b/>
      <sz val="20"/>
      <color rgb="FF13262E"/>
      <name val="Calibri"/>
    </font>
    <font>
      <sz val="11.5"/>
      <color rgb="FF4B646E"/>
      <name val="Calibri"/>
    </font>
    <font>
      <b/>
      <sz val="10"/>
      <color rgb="FF0B5E52"/>
      <name val="Calibri"/>
    </font>
    <font>
      <b/>
      <sz val="11"/>
      <color rgb="FF13262E"/>
      <name val="Calibri"/>
    </font>
    <font>
      <b/>
      <u/>
      <sz val="11"/>
      <color rgb="FF0B5E52"/>
      <name val="Calibri"/>
    </font>
    <font>
      <sz val="10"/>
      <color rgb="FF4B646E"/>
      <name val="Calibri"/>
    </font>
    <font>
      <b/>
      <sz val="13"/>
      <color rgb="FF0B5E52"/>
      <name val="Calibri"/>
    </font>
    <font>
      <b/>
      <sz val="10.5"/>
      <color rgb="FF13262E"/>
      <name val="Calibri"/>
    </font>
    <font>
      <u/>
      <sz val="9.5"/>
      <color rgb="FF4B646E"/>
      <name val="Calibri"/>
    </font>
    <font>
      <sz val="10.5"/>
      <color rgb="FF13262E"/>
      <name val="Calibri"/>
    </font>
    <font>
      <b/>
      <sz val="24"/>
      <color rgb="FF13262E"/>
      <name val="Calibri"/>
    </font>
    <font>
      <b/>
      <sz val="13"/>
      <color rgb="FFA32A20"/>
      <name val="Calibri"/>
    </font>
    <font>
      <b/>
      <sz val="10.5"/>
      <color rgb="FFFFFFFF"/>
      <name val="Calibri"/>
    </font>
    <font>
      <b/>
      <sz val="10.5"/>
      <color rgb="FF177A5E"/>
      <name val="Calibri"/>
    </font>
    <font>
      <b/>
      <sz val="10.5"/>
      <color rgb="FFA32A20"/>
      <name val="Calibri"/>
    </font>
    <font>
      <b/>
      <sz val="10.5"/>
      <color rgb="FF8A5A12"/>
      <name val="Calibri"/>
    </font>
    <font>
      <b/>
      <sz val="10.5"/>
      <color rgb="FF4B646E"/>
      <name val="Calibri"/>
    </font>
    <font>
      <sz val="9.5"/>
      <color rgb="FF13262E"/>
      <name val="Consolas"/>
    </font>
    <font>
      <b/>
      <sz val="11"/>
      <color rgb="FFA32A20"/>
      <name val="Calibri"/>
    </font>
    <font>
      <b/>
      <sz val="11"/>
      <color rgb="FF0B5E52"/>
      <name val="Calibri"/>
    </font>
  </fonts>
  <fills count="9">
    <fill>
      <patternFill patternType="none"/>
    </fill>
    <fill>
      <patternFill patternType="gray125"/>
    </fill>
    <fill>
      <patternFill patternType="solid">
        <fgColor rgb="FFFFF8DC"/>
      </patternFill>
    </fill>
    <fill>
      <patternFill patternType="solid">
        <fgColor rgb="FFEFF3F3"/>
      </patternFill>
    </fill>
    <fill>
      <patternFill patternType="solid">
        <fgColor rgb="FFFBEBE9"/>
      </patternFill>
    </fill>
    <fill>
      <patternFill patternType="solid">
        <fgColor rgb="FFFDF3E3"/>
      </patternFill>
    </fill>
    <fill>
      <patternFill patternType="solid">
        <fgColor rgb="FFE6F4EF"/>
      </patternFill>
    </fill>
    <fill>
      <patternFill patternType="solid">
        <fgColor rgb="FF0B5E52"/>
      </patternFill>
    </fill>
    <fill>
      <patternFill patternType="solid">
        <fgColor rgb="FFF3F8F7"/>
      </patternFill>
    </fill>
  </fills>
  <borders count="5">
    <border>
      <left/>
      <right/>
      <top/>
      <bottom/>
      <diagonal/>
    </border>
    <border>
      <left/>
      <right/>
      <top/>
      <bottom style="medium">
        <color rgb="FF0B5E52"/>
      </bottom>
      <diagonal/>
    </border>
    <border>
      <left/>
      <right/>
      <top/>
      <bottom style="thin">
        <color rgb="FFDCE5E5"/>
      </bottom>
      <diagonal/>
    </border>
    <border>
      <left style="thin">
        <color rgb="FFDCE5E5"/>
      </left>
      <right style="thin">
        <color rgb="FFDCE5E5"/>
      </right>
      <top style="thin">
        <color rgb="FFDCE5E5"/>
      </top>
      <bottom style="thin">
        <color rgb="FFDCE5E5"/>
      </bottom>
      <diagonal/>
    </border>
    <border>
      <left/>
      <right/>
      <top style="medium">
        <color rgb="FF0B5E52"/>
      </top>
      <bottom/>
      <diagonal/>
    </border>
  </borders>
  <cellStyleXfs count="1">
    <xf numFmtId="0" fontId="0" fillId="0" borderId="0"/>
  </cellStyleXfs>
  <cellXfs count="12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1" xfId="0" applyFont="1" applyBorder="1"/>
    <xf numFmtId="0" fontId="4" fillId="0" borderId="1" xfId="0" applyFont="1" applyBorder="1"/>
    <xf numFmtId="0" fontId="0" fillId="0" borderId="1" xfId="0" applyBorder="1"/>
    <xf numFmtId="0" fontId="5" fillId="0" borderId="2" xfId="0" applyFont="1" applyBorder="1"/>
    <xf numFmtId="0" fontId="6" fillId="0" borderId="2" xfId="0" applyFont="1" applyBorder="1"/>
    <xf numFmtId="0" fontId="6" fillId="0" borderId="2" xfId="0" applyFont="1" applyBorder="1" applyAlignment="1">
      <alignment horizontal="center"/>
    </xf>
    <xf numFmtId="0" fontId="7" fillId="0" borderId="0" xfId="0" applyFont="1" applyAlignment="1">
      <alignment vertical="top" wrapText="1"/>
    </xf>
    <xf numFmtId="0" fontId="8" fillId="2" borderId="3" xfId="0" applyFont="1" applyFill="1" applyBorder="1" applyAlignment="1">
      <alignment horizontal="center"/>
    </xf>
    <xf numFmtId="0" fontId="6" fillId="0" borderId="0" xfId="0" applyFont="1"/>
    <xf numFmtId="0" fontId="8" fillId="3" borderId="3" xfId="0" applyFont="1" applyFill="1" applyBorder="1" applyAlignment="1">
      <alignment horizontal="center"/>
    </xf>
    <xf numFmtId="0" fontId="8" fillId="4" borderId="3" xfId="0" applyFont="1" applyFill="1" applyBorder="1" applyAlignment="1">
      <alignment horizontal="center"/>
    </xf>
    <xf numFmtId="0" fontId="8" fillId="5" borderId="3" xfId="0" applyFont="1" applyFill="1" applyBorder="1" applyAlignment="1">
      <alignment horizontal="center"/>
    </xf>
    <xf numFmtId="0" fontId="8" fillId="6" borderId="3" xfId="0" applyFont="1" applyFill="1" applyBorder="1" applyAlignment="1">
      <alignment horizontal="center"/>
    </xf>
    <xf numFmtId="0" fontId="9" fillId="0" borderId="0" xfId="0" applyFont="1"/>
    <xf numFmtId="0" fontId="10" fillId="0" borderId="0" xfId="0" applyFont="1" applyAlignment="1">
      <alignment vertical="top" wrapText="1"/>
    </xf>
    <xf numFmtId="0" fontId="10" fillId="0" borderId="2" xfId="0" applyFont="1" applyBorder="1"/>
    <xf numFmtId="3" fontId="11" fillId="0" borderId="2" xfId="0" applyNumberFormat="1" applyFont="1" applyBorder="1" applyAlignment="1">
      <alignment horizontal="left" vertical="center"/>
    </xf>
    <xf numFmtId="0" fontId="6" fillId="0" borderId="2" xfId="0" applyFont="1" applyBorder="1" applyAlignment="1">
      <alignment vertical="center" wrapText="1"/>
    </xf>
    <xf numFmtId="0" fontId="10" fillId="4" borderId="2" xfId="0" applyFont="1" applyFill="1" applyBorder="1"/>
    <xf numFmtId="3" fontId="11" fillId="4" borderId="2" xfId="0" applyNumberFormat="1" applyFont="1" applyFill="1" applyBorder="1" applyAlignment="1">
      <alignment horizontal="left" vertical="center"/>
    </xf>
    <xf numFmtId="0" fontId="6" fillId="4" borderId="2" xfId="0" applyFont="1" applyFill="1" applyBorder="1" applyAlignment="1">
      <alignment vertical="center" wrapText="1"/>
    </xf>
    <xf numFmtId="164" fontId="11" fillId="4" borderId="2" xfId="0" applyNumberFormat="1" applyFont="1" applyFill="1" applyBorder="1" applyAlignment="1">
      <alignment horizontal="left" vertical="center"/>
    </xf>
    <xf numFmtId="0" fontId="10" fillId="5" borderId="2" xfId="0" applyFont="1" applyFill="1" applyBorder="1"/>
    <xf numFmtId="3" fontId="11" fillId="5" borderId="2" xfId="0" applyNumberFormat="1" applyFont="1" applyFill="1" applyBorder="1" applyAlignment="1">
      <alignment horizontal="left" vertical="center"/>
    </xf>
    <xf numFmtId="0" fontId="6" fillId="5" borderId="2" xfId="0" applyFont="1" applyFill="1" applyBorder="1" applyAlignment="1">
      <alignment vertical="center" wrapText="1"/>
    </xf>
    <xf numFmtId="0" fontId="12" fillId="0" borderId="0" xfId="0" applyFont="1" applyAlignment="1">
      <alignment vertical="top" wrapText="1"/>
    </xf>
    <xf numFmtId="0" fontId="13" fillId="7" borderId="0" xfId="0" applyFont="1" applyFill="1" applyAlignment="1">
      <alignment horizontal="left" vertical="center" wrapText="1"/>
    </xf>
    <xf numFmtId="0" fontId="10" fillId="0" borderId="2" xfId="0" applyFont="1" applyBorder="1" applyAlignment="1">
      <alignment horizontal="center" vertical="center"/>
    </xf>
    <xf numFmtId="0" fontId="8" fillId="0" borderId="2" xfId="0" applyFont="1" applyBorder="1" applyAlignment="1">
      <alignment horizontal="left" vertical="center"/>
    </xf>
    <xf numFmtId="0" fontId="6" fillId="0" borderId="2" xfId="0" applyFont="1" applyBorder="1" applyAlignment="1">
      <alignment horizontal="left" vertical="center" wrapText="1"/>
    </xf>
    <xf numFmtId="3" fontId="10" fillId="0" borderId="2" xfId="0" applyNumberFormat="1" applyFont="1" applyBorder="1" applyAlignment="1">
      <alignment horizontal="center" vertical="center"/>
    </xf>
    <xf numFmtId="0" fontId="14" fillId="0" borderId="2" xfId="0" applyFont="1" applyBorder="1" applyAlignment="1">
      <alignment horizontal="center" vertical="center"/>
    </xf>
    <xf numFmtId="0" fontId="10" fillId="4" borderId="2" xfId="0" applyFont="1" applyFill="1" applyBorder="1" applyAlignment="1">
      <alignment horizontal="center" vertical="center"/>
    </xf>
    <xf numFmtId="0" fontId="8" fillId="4" borderId="2" xfId="0" applyFont="1" applyFill="1" applyBorder="1" applyAlignment="1">
      <alignment horizontal="left" vertical="center"/>
    </xf>
    <xf numFmtId="0" fontId="6" fillId="4" borderId="2" xfId="0" applyFont="1" applyFill="1" applyBorder="1" applyAlignment="1">
      <alignment horizontal="left" vertical="center" wrapText="1"/>
    </xf>
    <xf numFmtId="3" fontId="10" fillId="4" borderId="2" xfId="0" applyNumberFormat="1" applyFont="1" applyFill="1" applyBorder="1" applyAlignment="1">
      <alignment horizontal="center" vertical="center"/>
    </xf>
    <xf numFmtId="0" fontId="15" fillId="4" borderId="2" xfId="0" applyFont="1" applyFill="1" applyBorder="1" applyAlignment="1">
      <alignment horizontal="center" vertical="center"/>
    </xf>
    <xf numFmtId="0" fontId="10" fillId="8" borderId="2" xfId="0" applyFont="1" applyFill="1" applyBorder="1" applyAlignment="1">
      <alignment horizontal="center" vertical="center"/>
    </xf>
    <xf numFmtId="0" fontId="8" fillId="8" borderId="2" xfId="0" applyFont="1" applyFill="1" applyBorder="1" applyAlignment="1">
      <alignment horizontal="left" vertical="center"/>
    </xf>
    <xf numFmtId="0" fontId="6" fillId="8" borderId="2" xfId="0" applyFont="1" applyFill="1" applyBorder="1" applyAlignment="1">
      <alignment horizontal="left" vertical="center" wrapText="1"/>
    </xf>
    <xf numFmtId="3" fontId="10" fillId="8" borderId="2" xfId="0" applyNumberFormat="1" applyFont="1" applyFill="1" applyBorder="1" applyAlignment="1">
      <alignment horizontal="center" vertical="center"/>
    </xf>
    <xf numFmtId="0" fontId="14" fillId="8" borderId="2" xfId="0" applyFont="1" applyFill="1" applyBorder="1" applyAlignment="1">
      <alignment horizontal="center" vertical="center"/>
    </xf>
    <xf numFmtId="164" fontId="10" fillId="0" borderId="2" xfId="0" applyNumberFormat="1" applyFont="1" applyBorder="1" applyAlignment="1">
      <alignment horizontal="center" vertical="center"/>
    </xf>
    <xf numFmtId="165" fontId="10" fillId="0" borderId="2" xfId="0" applyNumberFormat="1" applyFont="1" applyBorder="1" applyAlignment="1">
      <alignment horizontal="center" vertical="center"/>
    </xf>
    <xf numFmtId="166" fontId="10" fillId="0" borderId="2" xfId="0" applyNumberFormat="1" applyFont="1" applyBorder="1" applyAlignment="1">
      <alignment horizontal="center" vertical="center"/>
    </xf>
    <xf numFmtId="164" fontId="10" fillId="8" borderId="2" xfId="0" applyNumberFormat="1" applyFont="1" applyFill="1" applyBorder="1" applyAlignment="1">
      <alignment horizontal="center" vertical="center"/>
    </xf>
    <xf numFmtId="165" fontId="10" fillId="8" borderId="2" xfId="0" applyNumberFormat="1" applyFont="1" applyFill="1" applyBorder="1" applyAlignment="1">
      <alignment horizontal="center" vertical="center"/>
    </xf>
    <xf numFmtId="166" fontId="10" fillId="8" borderId="2" xfId="0" applyNumberFormat="1" applyFont="1" applyFill="1" applyBorder="1" applyAlignment="1">
      <alignment horizontal="center" vertical="center"/>
    </xf>
    <xf numFmtId="164" fontId="10" fillId="4" borderId="2" xfId="0" applyNumberFormat="1" applyFont="1" applyFill="1" applyBorder="1" applyAlignment="1">
      <alignment horizontal="center" vertical="center"/>
    </xf>
    <xf numFmtId="165" fontId="10" fillId="4" borderId="2" xfId="0" applyNumberFormat="1" applyFont="1" applyFill="1" applyBorder="1" applyAlignment="1">
      <alignment horizontal="center" vertical="center"/>
    </xf>
    <xf numFmtId="166" fontId="10" fillId="4" borderId="2" xfId="0" applyNumberFormat="1" applyFont="1" applyFill="1" applyBorder="1" applyAlignment="1">
      <alignment horizontal="center" vertical="center"/>
    </xf>
    <xf numFmtId="0" fontId="8" fillId="0" borderId="4" xfId="0" applyFont="1" applyBorder="1" applyAlignment="1">
      <alignment horizontal="center"/>
    </xf>
    <xf numFmtId="0" fontId="8" fillId="0" borderId="4" xfId="0" applyFont="1" applyBorder="1" applyAlignment="1">
      <alignment horizontal="left"/>
    </xf>
    <xf numFmtId="3" fontId="8" fillId="0" borderId="4" xfId="0" applyNumberFormat="1" applyFont="1" applyBorder="1" applyAlignment="1">
      <alignment horizontal="center"/>
    </xf>
    <xf numFmtId="164" fontId="8" fillId="0" borderId="4" xfId="0" applyNumberFormat="1" applyFont="1" applyBorder="1" applyAlignment="1">
      <alignment horizontal="center"/>
    </xf>
    <xf numFmtId="165" fontId="8" fillId="0" borderId="4" xfId="0" applyNumberFormat="1" applyFont="1" applyBorder="1" applyAlignment="1">
      <alignment horizontal="center"/>
    </xf>
    <xf numFmtId="166" fontId="8" fillId="0" borderId="4" xfId="0" applyNumberFormat="1" applyFont="1" applyBorder="1" applyAlignment="1">
      <alignment horizontal="center"/>
    </xf>
    <xf numFmtId="0" fontId="8" fillId="5" borderId="2" xfId="0" applyFont="1" applyFill="1" applyBorder="1" applyAlignment="1">
      <alignment horizontal="left" vertical="center"/>
    </xf>
    <xf numFmtId="3" fontId="10" fillId="5" borderId="2" xfId="0" applyNumberFormat="1" applyFont="1" applyFill="1" applyBorder="1" applyAlignment="1">
      <alignment horizontal="center" vertical="center"/>
    </xf>
    <xf numFmtId="164" fontId="10" fillId="5" borderId="2" xfId="0" applyNumberFormat="1" applyFont="1" applyFill="1" applyBorder="1" applyAlignment="1">
      <alignment horizontal="center" vertical="center"/>
    </xf>
    <xf numFmtId="165" fontId="10" fillId="5" borderId="2" xfId="0" applyNumberFormat="1" applyFont="1" applyFill="1" applyBorder="1" applyAlignment="1">
      <alignment horizontal="center" vertical="center"/>
    </xf>
    <xf numFmtId="166" fontId="10" fillId="5" borderId="2" xfId="0" applyNumberFormat="1" applyFont="1" applyFill="1" applyBorder="1" applyAlignment="1">
      <alignment horizontal="center" vertical="center"/>
    </xf>
    <xf numFmtId="0" fontId="6" fillId="5" borderId="2" xfId="0" applyFont="1" applyFill="1" applyBorder="1" applyAlignment="1">
      <alignment horizontal="left" vertical="center" wrapText="1"/>
    </xf>
    <xf numFmtId="10" fontId="8" fillId="0" borderId="4" xfId="0" applyNumberFormat="1" applyFont="1" applyBorder="1" applyAlignment="1">
      <alignment horizontal="center"/>
    </xf>
    <xf numFmtId="0" fontId="10" fillId="0" borderId="0" xfId="0" applyFont="1"/>
    <xf numFmtId="165" fontId="8" fillId="2" borderId="3" xfId="0" applyNumberFormat="1" applyFont="1" applyFill="1" applyBorder="1" applyAlignment="1">
      <alignment horizontal="center" vertical="center"/>
    </xf>
    <xf numFmtId="3" fontId="8" fillId="2" borderId="3" xfId="0" applyNumberFormat="1" applyFont="1" applyFill="1" applyBorder="1" applyAlignment="1">
      <alignment horizontal="center" vertical="center"/>
    </xf>
    <xf numFmtId="0" fontId="8" fillId="0" borderId="2" xfId="0" applyFont="1" applyBorder="1"/>
    <xf numFmtId="0" fontId="0" fillId="0" borderId="2" xfId="0" applyBorder="1"/>
    <xf numFmtId="0" fontId="8" fillId="0" borderId="2" xfId="0" applyFont="1" applyBorder="1" applyAlignment="1">
      <alignment horizontal="center" vertical="top"/>
    </xf>
    <xf numFmtId="0" fontId="8" fillId="0" borderId="2" xfId="0" applyFont="1" applyBorder="1" applyAlignment="1">
      <alignment horizontal="left" vertical="top" wrapText="1"/>
    </xf>
    <xf numFmtId="0" fontId="6" fillId="0" borderId="2" xfId="0" applyFont="1" applyBorder="1" applyAlignment="1">
      <alignment horizontal="left" vertical="top" wrapText="1"/>
    </xf>
    <xf numFmtId="0" fontId="15" fillId="0" borderId="2" xfId="0" applyFont="1" applyBorder="1" applyAlignment="1">
      <alignment horizontal="center" vertical="top"/>
    </xf>
    <xf numFmtId="0" fontId="10" fillId="0" borderId="2" xfId="0" applyFont="1" applyBorder="1" applyAlignment="1">
      <alignment horizontal="left" vertical="top" wrapText="1"/>
    </xf>
    <xf numFmtId="0" fontId="0" fillId="2" borderId="2" xfId="0" applyFill="1" applyBorder="1" applyAlignment="1">
      <alignment horizontal="left" vertical="top"/>
    </xf>
    <xf numFmtId="0" fontId="0" fillId="2" borderId="2" xfId="0" applyFill="1" applyBorder="1" applyAlignment="1">
      <alignment horizontal="center" vertical="top"/>
    </xf>
    <xf numFmtId="0" fontId="16" fillId="0" borderId="2" xfId="0" applyFont="1" applyBorder="1" applyAlignment="1">
      <alignment horizontal="center" vertical="top"/>
    </xf>
    <xf numFmtId="0" fontId="17" fillId="0" borderId="2" xfId="0" applyFont="1" applyBorder="1" applyAlignment="1">
      <alignment horizontal="center" vertical="top"/>
    </xf>
    <xf numFmtId="0" fontId="10" fillId="3" borderId="2" xfId="0" applyFont="1" applyFill="1" applyBorder="1" applyAlignment="1">
      <alignment horizontal="center" vertical="center"/>
    </xf>
    <xf numFmtId="9" fontId="10" fillId="3" borderId="2" xfId="0" applyNumberFormat="1" applyFont="1" applyFill="1" applyBorder="1" applyAlignment="1">
      <alignment horizontal="center" vertical="center"/>
    </xf>
    <xf numFmtId="0" fontId="0" fillId="0" borderId="2" xfId="0" applyBorder="1" applyAlignment="1">
      <alignment horizontal="left" vertical="center"/>
    </xf>
    <xf numFmtId="0" fontId="8" fillId="0" borderId="4" xfId="0" applyFont="1" applyBorder="1"/>
    <xf numFmtId="9" fontId="8" fillId="0" borderId="4" xfId="0" applyNumberFormat="1" applyFont="1" applyBorder="1" applyAlignment="1">
      <alignment horizontal="center"/>
    </xf>
    <xf numFmtId="0" fontId="0" fillId="0" borderId="4" xfId="0" applyBorder="1"/>
    <xf numFmtId="0" fontId="8" fillId="0" borderId="0" xfId="0" applyFont="1"/>
    <xf numFmtId="0" fontId="0" fillId="2" borderId="3" xfId="0" applyFill="1" applyBorder="1"/>
    <xf numFmtId="0" fontId="18" fillId="0" borderId="2" xfId="0" applyFont="1" applyBorder="1" applyAlignment="1">
      <alignment horizontal="left" vertical="top"/>
    </xf>
    <xf numFmtId="0" fontId="8" fillId="0" borderId="2" xfId="0" applyFont="1" applyBorder="1" applyAlignment="1">
      <alignment horizontal="left" vertical="top"/>
    </xf>
    <xf numFmtId="0" fontId="0" fillId="2" borderId="2" xfId="0" applyFill="1" applyBorder="1" applyAlignment="1">
      <alignment horizontal="left" vertical="top" wrapText="1"/>
    </xf>
    <xf numFmtId="0" fontId="18" fillId="8" borderId="2" xfId="0" applyFont="1" applyFill="1" applyBorder="1" applyAlignment="1">
      <alignment horizontal="left" vertical="top"/>
    </xf>
    <xf numFmtId="0" fontId="8" fillId="8" borderId="2" xfId="0" applyFont="1" applyFill="1" applyBorder="1" applyAlignment="1">
      <alignment horizontal="left" vertical="top"/>
    </xf>
    <xf numFmtId="0" fontId="10" fillId="8" borderId="2" xfId="0" applyFont="1" applyFill="1" applyBorder="1" applyAlignment="1">
      <alignment horizontal="left" vertical="top" wrapText="1"/>
    </xf>
    <xf numFmtId="0" fontId="6" fillId="8" borderId="2" xfId="0" applyFont="1" applyFill="1" applyBorder="1" applyAlignment="1">
      <alignment horizontal="left" vertical="top" wrapText="1"/>
    </xf>
    <xf numFmtId="0" fontId="15" fillId="8" borderId="2" xfId="0" applyFont="1" applyFill="1" applyBorder="1" applyAlignment="1">
      <alignment horizontal="center" vertical="top"/>
    </xf>
    <xf numFmtId="0" fontId="16" fillId="8" borderId="2" xfId="0" applyFont="1" applyFill="1" applyBorder="1" applyAlignment="1">
      <alignment horizontal="center" vertical="top"/>
    </xf>
    <xf numFmtId="0" fontId="18" fillId="0" borderId="2" xfId="0" applyFont="1" applyBorder="1" applyAlignment="1">
      <alignment horizontal="left" vertical="center"/>
    </xf>
    <xf numFmtId="0" fontId="0" fillId="2" borderId="2" xfId="0" applyFill="1" applyBorder="1" applyAlignment="1">
      <alignment horizontal="left" vertical="center"/>
    </xf>
    <xf numFmtId="0" fontId="0" fillId="2" borderId="2" xfId="0" applyFill="1" applyBorder="1" applyAlignment="1">
      <alignment horizontal="center" vertical="center"/>
    </xf>
    <xf numFmtId="3" fontId="0" fillId="0" borderId="2" xfId="0" applyNumberFormat="1" applyBorder="1" applyAlignment="1">
      <alignment horizontal="center" vertical="center"/>
    </xf>
    <xf numFmtId="167" fontId="0" fillId="3" borderId="2" xfId="0" applyNumberFormat="1" applyFill="1" applyBorder="1" applyAlignment="1">
      <alignment horizontal="center" vertical="center"/>
    </xf>
    <xf numFmtId="0" fontId="0" fillId="3" borderId="2" xfId="0" applyFill="1" applyBorder="1" applyAlignment="1">
      <alignment horizontal="center" vertical="center"/>
    </xf>
    <xf numFmtId="3" fontId="0" fillId="3" borderId="2" xfId="0" applyNumberFormat="1" applyFill="1" applyBorder="1" applyAlignment="1">
      <alignment horizontal="center" vertical="center"/>
    </xf>
    <xf numFmtId="0" fontId="0" fillId="2" borderId="2" xfId="0" applyFill="1" applyBorder="1" applyAlignment="1">
      <alignment horizontal="left" vertical="center" wrapText="1"/>
    </xf>
    <xf numFmtId="0" fontId="0" fillId="0" borderId="2" xfId="0" applyBorder="1" applyAlignment="1">
      <alignment horizontal="left" vertical="center" wrapText="1"/>
    </xf>
    <xf numFmtId="165" fontId="0" fillId="3" borderId="2" xfId="0" applyNumberFormat="1" applyFill="1" applyBorder="1" applyAlignment="1">
      <alignment horizontal="center" vertical="center"/>
    </xf>
    <xf numFmtId="3" fontId="8" fillId="0" borderId="4" xfId="0" applyNumberFormat="1" applyFont="1" applyBorder="1"/>
    <xf numFmtId="164" fontId="8" fillId="0" borderId="4" xfId="0" applyNumberFormat="1" applyFont="1" applyBorder="1"/>
    <xf numFmtId="0" fontId="6" fillId="2" borderId="2" xfId="0" applyFont="1" applyFill="1" applyBorder="1" applyAlignment="1">
      <alignment horizontal="left" vertical="center" wrapText="1"/>
    </xf>
    <xf numFmtId="166" fontId="0" fillId="3" borderId="2" xfId="0" applyNumberFormat="1" applyFill="1" applyBorder="1" applyAlignment="1">
      <alignment horizontal="center" vertical="center"/>
    </xf>
    <xf numFmtId="166" fontId="0" fillId="0" borderId="2" xfId="0" applyNumberFormat="1" applyBorder="1" applyAlignment="1">
      <alignment horizontal="center" vertical="center"/>
    </xf>
    <xf numFmtId="0" fontId="20" fillId="2" borderId="2" xfId="0" applyFont="1" applyFill="1" applyBorder="1" applyAlignment="1">
      <alignment horizontal="center" vertical="center"/>
    </xf>
    <xf numFmtId="0" fontId="6" fillId="0" borderId="2" xfId="0" applyFont="1" applyBorder="1" applyAlignment="1">
      <alignment horizontal="center" vertical="center"/>
    </xf>
    <xf numFmtId="0" fontId="6" fillId="5" borderId="2" xfId="0" applyFont="1" applyFill="1" applyBorder="1" applyAlignment="1">
      <alignment horizontal="center" vertical="center"/>
    </xf>
    <xf numFmtId="0" fontId="8" fillId="0" borderId="2" xfId="0" applyFont="1" applyBorder="1" applyAlignment="1">
      <alignment horizontal="left" vertical="center" wrapText="1"/>
    </xf>
    <xf numFmtId="0" fontId="15" fillId="0" borderId="2" xfId="0" applyFont="1" applyBorder="1" applyAlignment="1">
      <alignment horizontal="center" vertical="center"/>
    </xf>
    <xf numFmtId="0" fontId="16" fillId="0" borderId="2" xfId="0" applyFont="1" applyBorder="1" applyAlignment="1">
      <alignment horizontal="center" vertical="center"/>
    </xf>
    <xf numFmtId="0" fontId="8" fillId="0" borderId="2" xfId="0" applyFont="1" applyBorder="1" applyAlignment="1">
      <alignment vertical="top" wrapText="1"/>
    </xf>
    <xf numFmtId="0" fontId="10" fillId="0" borderId="2" xfId="0" applyFont="1" applyBorder="1" applyAlignment="1">
      <alignment vertical="top" wrapText="1"/>
    </xf>
    <xf numFmtId="0" fontId="10" fillId="0" borderId="0" xfId="0" applyFont="1" applyAlignment="1">
      <alignment vertical="top" wrapText="1"/>
    </xf>
    <xf numFmtId="0" fontId="0" fillId="0" borderId="0" xfId="0"/>
    <xf numFmtId="0" fontId="10" fillId="4" borderId="0" xfId="0" applyFont="1" applyFill="1" applyAlignment="1">
      <alignment vertical="top" wrapText="1"/>
    </xf>
    <xf numFmtId="0" fontId="0" fillId="4" borderId="0" xfId="0" applyFill="1"/>
    <xf numFmtId="0" fontId="6" fillId="0" borderId="0" xfId="0" applyFont="1" applyAlignment="1">
      <alignment vertical="top" wrapText="1"/>
    </xf>
    <xf numFmtId="0" fontId="6" fillId="0" borderId="0" xfId="0" applyFont="1"/>
    <xf numFmtId="0" fontId="19" fillId="0" borderId="0" xfId="0" applyFont="1" applyAlignment="1">
      <alignment vertical="top" wrapText="1"/>
    </xf>
  </cellXfs>
  <cellStyles count="1">
    <cellStyle name="Normal" xfId="0" builtinId="0"/>
  </cellStyles>
  <dxfs count="21">
    <dxf>
      <font>
        <b/>
        <color rgb="FF8A5A12"/>
      </font>
      <fill>
        <patternFill patternType="solid">
          <fgColor rgb="FFFDF3E3"/>
        </patternFill>
      </fill>
    </dxf>
    <dxf>
      <font>
        <b/>
        <color rgb="FFA32A20"/>
      </font>
      <fill>
        <patternFill patternType="solid">
          <fgColor rgb="FFFBEBE9"/>
        </patternFill>
      </fill>
    </dxf>
    <dxf>
      <font>
        <b/>
        <color rgb="FF177A5E"/>
      </font>
      <fill>
        <patternFill patternType="solid">
          <fgColor rgb="FFE6F4EF"/>
        </patternFill>
      </fill>
    </dxf>
    <dxf>
      <font>
        <b/>
        <color rgb="FF8A5A12"/>
      </font>
      <fill>
        <patternFill patternType="solid">
          <fgColor rgb="FFFDF3E3"/>
        </patternFill>
      </fill>
    </dxf>
    <dxf>
      <font>
        <b/>
        <color rgb="FFA32A20"/>
      </font>
      <fill>
        <patternFill patternType="solid">
          <fgColor rgb="FFFBEBE9"/>
        </patternFill>
      </fill>
    </dxf>
    <dxf>
      <font>
        <b/>
        <color rgb="FF177A5E"/>
      </font>
      <fill>
        <patternFill patternType="solid">
          <fgColor rgb="FFE6F4EF"/>
        </patternFill>
      </fill>
    </dxf>
    <dxf>
      <font>
        <b/>
        <color rgb="FF8A5A12"/>
      </font>
      <fill>
        <patternFill patternType="solid">
          <fgColor rgb="FFFDF3E3"/>
        </patternFill>
      </fill>
    </dxf>
    <dxf>
      <font>
        <b/>
        <color rgb="FFA32A20"/>
      </font>
      <fill>
        <patternFill patternType="solid">
          <fgColor rgb="FFFBEBE9"/>
        </patternFill>
      </fill>
    </dxf>
    <dxf>
      <font>
        <b/>
        <color rgb="FF177A5E"/>
      </font>
      <fill>
        <patternFill patternType="solid">
          <fgColor rgb="FFE6F4EF"/>
        </patternFill>
      </fill>
    </dxf>
    <dxf>
      <font>
        <b/>
        <color rgb="FF8A5A12"/>
      </font>
      <fill>
        <patternFill patternType="solid">
          <fgColor rgb="FFFDF3E3"/>
        </patternFill>
      </fill>
    </dxf>
    <dxf>
      <font>
        <b/>
        <color rgb="FFA32A20"/>
      </font>
      <fill>
        <patternFill patternType="solid">
          <fgColor rgb="FFFBEBE9"/>
        </patternFill>
      </fill>
    </dxf>
    <dxf>
      <font>
        <b/>
        <color rgb="FF177A5E"/>
      </font>
      <fill>
        <patternFill patternType="solid">
          <fgColor rgb="FFE6F4EF"/>
        </patternFill>
      </fill>
    </dxf>
    <dxf>
      <font>
        <b/>
        <color rgb="FF8A5A12"/>
      </font>
      <fill>
        <patternFill patternType="solid">
          <fgColor rgb="FFFDF3E3"/>
        </patternFill>
      </fill>
    </dxf>
    <dxf>
      <font>
        <b/>
        <color rgb="FFA32A20"/>
      </font>
      <fill>
        <patternFill patternType="solid">
          <fgColor rgb="FFFBEBE9"/>
        </patternFill>
      </fill>
    </dxf>
    <dxf>
      <font>
        <b/>
        <color rgb="FF177A5E"/>
      </font>
      <fill>
        <patternFill patternType="solid">
          <fgColor rgb="FFE6F4EF"/>
        </patternFill>
      </fill>
    </dxf>
    <dxf>
      <font>
        <b/>
        <color rgb="FF8A5A12"/>
      </font>
      <fill>
        <patternFill patternType="solid">
          <fgColor rgb="FFFDF3E3"/>
        </patternFill>
      </fill>
    </dxf>
    <dxf>
      <font>
        <b/>
        <color rgb="FFA32A20"/>
      </font>
      <fill>
        <patternFill patternType="solid">
          <fgColor rgb="FFFBEBE9"/>
        </patternFill>
      </fill>
    </dxf>
    <dxf>
      <font>
        <b/>
        <color rgb="FF177A5E"/>
      </font>
      <fill>
        <patternFill patternType="solid">
          <fgColor rgb="FFE6F4EF"/>
        </patternFill>
      </fill>
    </dxf>
    <dxf>
      <font>
        <b/>
        <color rgb="FF8A5A12"/>
      </font>
      <fill>
        <patternFill patternType="solid">
          <fgColor rgb="FFFDF3E3"/>
        </patternFill>
      </fill>
    </dxf>
    <dxf>
      <font>
        <b/>
        <color rgb="FFA32A20"/>
      </font>
      <fill>
        <patternFill patternType="solid">
          <fgColor rgb="FFFBEBE9"/>
        </patternFill>
      </fill>
    </dxf>
    <dxf>
      <font>
        <b/>
        <color rgb="FF177A5E"/>
      </font>
      <fill>
        <patternFill patternType="solid">
          <fgColor rgb="FFE6F4E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D31"/>
  <sheetViews>
    <sheetView showGridLines="0" workbookViewId="0"/>
  </sheetViews>
  <sheetFormatPr defaultRowHeight="15" x14ac:dyDescent="0.25"/>
  <cols>
    <col min="1" max="1" width="2" customWidth="1"/>
    <col min="2" max="2" width="30" customWidth="1"/>
    <col min="3" max="3" width="62" customWidth="1"/>
    <col min="4" max="4" width="14" customWidth="1"/>
  </cols>
  <sheetData>
    <row r="2" spans="2:4" ht="26.1" customHeight="1" x14ac:dyDescent="0.25">
      <c r="B2" s="1" t="s">
        <v>0</v>
      </c>
    </row>
    <row r="3" spans="2:4" ht="30" x14ac:dyDescent="0.25">
      <c r="B3" s="2" t="s">
        <v>1</v>
      </c>
    </row>
    <row r="6" spans="2:4" ht="26.1" customHeight="1" x14ac:dyDescent="0.25">
      <c r="B6" s="3" t="s">
        <v>2</v>
      </c>
      <c r="C6" s="4" t="s">
        <v>3</v>
      </c>
      <c r="D6" s="5"/>
    </row>
    <row r="7" spans="2:4" ht="21" customHeight="1" x14ac:dyDescent="0.25">
      <c r="B7" s="6" t="s">
        <v>4</v>
      </c>
      <c r="C7" s="7" t="s">
        <v>5</v>
      </c>
      <c r="D7" s="8" t="s">
        <v>6</v>
      </c>
    </row>
    <row r="8" spans="2:4" ht="21" customHeight="1" x14ac:dyDescent="0.25">
      <c r="B8" s="6" t="s">
        <v>7</v>
      </c>
      <c r="C8" s="7" t="s">
        <v>8</v>
      </c>
      <c r="D8" s="8" t="s">
        <v>6</v>
      </c>
    </row>
    <row r="9" spans="2:4" ht="21" customHeight="1" x14ac:dyDescent="0.25">
      <c r="B9" s="6" t="s">
        <v>9</v>
      </c>
      <c r="C9" s="7" t="s">
        <v>10</v>
      </c>
      <c r="D9" s="8" t="s">
        <v>6</v>
      </c>
    </row>
    <row r="10" spans="2:4" ht="21" customHeight="1" x14ac:dyDescent="0.25">
      <c r="B10" s="6" t="s">
        <v>11</v>
      </c>
      <c r="C10" s="7" t="s">
        <v>12</v>
      </c>
      <c r="D10" s="8" t="s">
        <v>6</v>
      </c>
    </row>
    <row r="11" spans="2:4" ht="21" customHeight="1" x14ac:dyDescent="0.25">
      <c r="B11" s="6" t="s">
        <v>13</v>
      </c>
      <c r="C11" s="7" t="s">
        <v>14</v>
      </c>
      <c r="D11" s="8" t="s">
        <v>6</v>
      </c>
    </row>
    <row r="12" spans="2:4" ht="21" customHeight="1" x14ac:dyDescent="0.25">
      <c r="B12" s="6" t="s">
        <v>15</v>
      </c>
      <c r="C12" s="7" t="s">
        <v>16</v>
      </c>
      <c r="D12" s="8" t="s">
        <v>6</v>
      </c>
    </row>
    <row r="13" spans="2:4" ht="21" customHeight="1" x14ac:dyDescent="0.25">
      <c r="B13" s="6" t="s">
        <v>17</v>
      </c>
      <c r="C13" s="7" t="s">
        <v>18</v>
      </c>
      <c r="D13" s="8" t="s">
        <v>6</v>
      </c>
    </row>
    <row r="14" spans="2:4" ht="26.1" customHeight="1" x14ac:dyDescent="0.25">
      <c r="B14" s="3" t="s">
        <v>19</v>
      </c>
      <c r="C14" s="4" t="s">
        <v>20</v>
      </c>
      <c r="D14" s="5"/>
    </row>
    <row r="15" spans="2:4" ht="21" customHeight="1" x14ac:dyDescent="0.25">
      <c r="B15" s="6" t="s">
        <v>21</v>
      </c>
      <c r="C15" s="7" t="s">
        <v>22</v>
      </c>
      <c r="D15" s="8" t="s">
        <v>23</v>
      </c>
    </row>
    <row r="16" spans="2:4" ht="21" customHeight="1" x14ac:dyDescent="0.25">
      <c r="B16" s="6" t="s">
        <v>24</v>
      </c>
      <c r="C16" s="7" t="s">
        <v>25</v>
      </c>
      <c r="D16" s="8" t="s">
        <v>23</v>
      </c>
    </row>
    <row r="17" spans="2:4" ht="21" customHeight="1" x14ac:dyDescent="0.25">
      <c r="B17" s="6" t="s">
        <v>26</v>
      </c>
      <c r="C17" s="7" t="s">
        <v>27</v>
      </c>
      <c r="D17" s="8" t="s">
        <v>23</v>
      </c>
    </row>
    <row r="18" spans="2:4" ht="21" customHeight="1" x14ac:dyDescent="0.25">
      <c r="B18" s="6" t="s">
        <v>28</v>
      </c>
      <c r="C18" s="7" t="s">
        <v>29</v>
      </c>
      <c r="D18" s="8" t="s">
        <v>23</v>
      </c>
    </row>
    <row r="19" spans="2:4" ht="21" customHeight="1" x14ac:dyDescent="0.25">
      <c r="B19" s="6" t="s">
        <v>30</v>
      </c>
      <c r="C19" s="7" t="s">
        <v>31</v>
      </c>
      <c r="D19" s="8" t="s">
        <v>23</v>
      </c>
    </row>
    <row r="20" spans="2:4" ht="21" customHeight="1" x14ac:dyDescent="0.25">
      <c r="B20" s="6" t="s">
        <v>32</v>
      </c>
      <c r="C20" s="7" t="s">
        <v>33</v>
      </c>
      <c r="D20" s="8" t="s">
        <v>23</v>
      </c>
    </row>
    <row r="21" spans="2:4" ht="26.1" customHeight="1" x14ac:dyDescent="0.25">
      <c r="B21" s="3" t="s">
        <v>34</v>
      </c>
      <c r="C21" s="4" t="s">
        <v>35</v>
      </c>
      <c r="D21" s="5"/>
    </row>
    <row r="22" spans="2:4" ht="21" customHeight="1" x14ac:dyDescent="0.25">
      <c r="B22" s="6" t="s">
        <v>36</v>
      </c>
      <c r="C22" s="7" t="s">
        <v>37</v>
      </c>
      <c r="D22" s="8" t="s">
        <v>35</v>
      </c>
    </row>
    <row r="23" spans="2:4" ht="21" customHeight="1" x14ac:dyDescent="0.25">
      <c r="B23" s="6" t="s">
        <v>38</v>
      </c>
      <c r="C23" s="7" t="s">
        <v>39</v>
      </c>
      <c r="D23" s="8" t="s">
        <v>35</v>
      </c>
    </row>
    <row r="24" spans="2:4" ht="21" customHeight="1" x14ac:dyDescent="0.25">
      <c r="B24" s="6" t="s">
        <v>40</v>
      </c>
      <c r="C24" s="7" t="s">
        <v>41</v>
      </c>
      <c r="D24" s="8" t="s">
        <v>35</v>
      </c>
    </row>
    <row r="26" spans="2:4" ht="17.25" x14ac:dyDescent="0.25">
      <c r="B26" s="9" t="s">
        <v>42</v>
      </c>
    </row>
    <row r="27" spans="2:4" ht="20.100000000000001" customHeight="1" x14ac:dyDescent="0.25">
      <c r="B27" s="10" t="s">
        <v>43</v>
      </c>
      <c r="C27" s="11" t="s">
        <v>44</v>
      </c>
    </row>
    <row r="28" spans="2:4" ht="20.100000000000001" customHeight="1" x14ac:dyDescent="0.25">
      <c r="B28" s="12" t="s">
        <v>45</v>
      </c>
      <c r="C28" s="11" t="s">
        <v>46</v>
      </c>
    </row>
    <row r="29" spans="2:4" ht="20.100000000000001" customHeight="1" x14ac:dyDescent="0.25">
      <c r="B29" s="13" t="s">
        <v>47</v>
      </c>
      <c r="C29" s="11" t="s">
        <v>48</v>
      </c>
    </row>
    <row r="30" spans="2:4" ht="20.100000000000001" customHeight="1" x14ac:dyDescent="0.25">
      <c r="B30" s="14" t="s">
        <v>49</v>
      </c>
      <c r="C30" s="11" t="s">
        <v>50</v>
      </c>
    </row>
    <row r="31" spans="2:4" ht="20.100000000000001" customHeight="1" x14ac:dyDescent="0.25">
      <c r="B31" s="15" t="s">
        <v>51</v>
      </c>
      <c r="C31" s="11" t="s">
        <v>52</v>
      </c>
    </row>
  </sheetData>
  <hyperlinks>
    <hyperlink ref="B7" location="'Executive summary'!A1" display="Executive summary" xr:uid="{00000000-0004-0000-0000-000000000000}"/>
    <hyperlink ref="B8" location="'Stage by stage'!A1" display="Stage by stage" xr:uid="{00000000-0004-0000-0000-000001000000}"/>
    <hyperlink ref="B9" location="'Tokens &amp; cost by step'!A1" display="Tokens &amp; cost by step" xr:uid="{00000000-0004-0000-0000-000002000000}"/>
    <hyperlink ref="B10" location="'Tokens &amp; cost by project'!A1" display="Tokens &amp; cost by project" xr:uid="{00000000-0004-0000-0000-000003000000}"/>
    <hyperlink ref="B11" location="'Where work is stuck'!A1" display="Where work is stuck" xr:uid="{00000000-0004-0000-0000-000004000000}"/>
    <hyperlink ref="B12" location="'Cost scaling'!A1" display="Cost scaling" xr:uid="{00000000-0004-0000-0000-000005000000}"/>
    <hyperlink ref="B13" location="'Issues &amp; actions'!A1" display="Issues &amp; actions" xr:uid="{00000000-0004-0000-0000-000006000000}"/>
    <hyperlink ref="B15" location="'Test progress'!A1" display="Test progress" xr:uid="{00000000-0004-0000-0000-000007000000}"/>
    <hyperlink ref="B16" location="'Test · Functional'!A1" display="Test · Functional" xr:uid="{00000000-0004-0000-0000-000008000000}"/>
    <hyperlink ref="B17" location="'Test · Documents'!A1" display="Test · Documents" xr:uid="{00000000-0004-0000-0000-000009000000}"/>
    <hyperlink ref="B18" location="'Test · Drawings'!A1" display="Test · Drawings" xr:uid="{00000000-0004-0000-0000-00000A000000}"/>
    <hyperlink ref="B19" location="'Test · Tokens'!A1" display="Test · Tokens" xr:uid="{00000000-0004-0000-0000-00000B000000}"/>
    <hyperlink ref="B20" location="'Test · Accuracy'!A1" display="Test · Accuracy" xr:uid="{00000000-0004-0000-0000-00000C000000}"/>
    <hyperlink ref="B22" location="'Targets'!A1" display="Targets" xr:uid="{00000000-0004-0000-0000-00000D000000}"/>
    <hyperlink ref="B23" location="'Test data needed'!A1" display="Test data needed" xr:uid="{00000000-0004-0000-0000-00000E000000}"/>
    <hyperlink ref="B24" location="'Glossary'!A1" display="Glossary" xr:uid="{00000000-0004-0000-0000-00000F000000}"/>
  </hyperlink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B5E52"/>
    <pageSetUpPr fitToPage="1"/>
  </sheetPr>
  <dimension ref="B3:D21"/>
  <sheetViews>
    <sheetView showGridLines="0" workbookViewId="0">
      <selection activeCell="A2" sqref="A2:XFD2"/>
    </sheetView>
  </sheetViews>
  <sheetFormatPr defaultRowHeight="15" x14ac:dyDescent="0.25"/>
  <cols>
    <col min="1" max="1" width="2" customWidth="1"/>
    <col min="2" max="2" width="34" customWidth="1"/>
    <col min="3" max="3" width="18" customWidth="1"/>
    <col min="4" max="4" width="62" customWidth="1"/>
  </cols>
  <sheetData>
    <row r="3" spans="2:4" ht="17.25" x14ac:dyDescent="0.25">
      <c r="B3" s="9" t="s">
        <v>54</v>
      </c>
    </row>
    <row r="4" spans="2:4" ht="6" customHeight="1" x14ac:dyDescent="0.25">
      <c r="B4" s="5"/>
      <c r="C4" s="5"/>
      <c r="D4" s="5"/>
    </row>
    <row r="5" spans="2:4" ht="30" customHeight="1" x14ac:dyDescent="0.25">
      <c r="B5" s="18" t="s">
        <v>55</v>
      </c>
      <c r="C5" s="19">
        <v>228</v>
      </c>
      <c r="D5" s="20" t="s">
        <v>56</v>
      </c>
    </row>
    <row r="6" spans="2:4" ht="30" customHeight="1" x14ac:dyDescent="0.25">
      <c r="B6" s="18" t="s">
        <v>57</v>
      </c>
      <c r="C6" s="19">
        <v>88</v>
      </c>
      <c r="D6" s="20" t="s">
        <v>58</v>
      </c>
    </row>
    <row r="7" spans="2:4" ht="30" customHeight="1" x14ac:dyDescent="0.25">
      <c r="B7" s="21" t="s">
        <v>59</v>
      </c>
      <c r="C7" s="22">
        <v>44</v>
      </c>
      <c r="D7" s="23" t="s">
        <v>60</v>
      </c>
    </row>
    <row r="8" spans="2:4" ht="30" customHeight="1" x14ac:dyDescent="0.25">
      <c r="B8" s="18" t="s">
        <v>61</v>
      </c>
      <c r="C8" s="19">
        <v>26040</v>
      </c>
      <c r="D8" s="20" t="s">
        <v>62</v>
      </c>
    </row>
    <row r="9" spans="2:4" ht="30" customHeight="1" x14ac:dyDescent="0.25">
      <c r="B9" s="21" t="s">
        <v>63</v>
      </c>
      <c r="C9" s="24">
        <v>3.36</v>
      </c>
      <c r="D9" s="23" t="s">
        <v>64</v>
      </c>
    </row>
    <row r="10" spans="2:4" ht="30" customHeight="1" x14ac:dyDescent="0.25">
      <c r="B10" s="21" t="s">
        <v>65</v>
      </c>
      <c r="C10" s="22">
        <v>1367</v>
      </c>
      <c r="D10" s="23" t="s">
        <v>66</v>
      </c>
    </row>
    <row r="11" spans="2:4" ht="30" customHeight="1" x14ac:dyDescent="0.25">
      <c r="B11" s="21" t="s">
        <v>67</v>
      </c>
      <c r="C11" s="22">
        <v>8</v>
      </c>
      <c r="D11" s="23" t="s">
        <v>68</v>
      </c>
    </row>
    <row r="12" spans="2:4" ht="30" customHeight="1" x14ac:dyDescent="0.25">
      <c r="B12" s="25" t="s">
        <v>69</v>
      </c>
      <c r="C12" s="26">
        <v>0</v>
      </c>
      <c r="D12" s="27" t="s">
        <v>70</v>
      </c>
    </row>
    <row r="13" spans="2:4" ht="30" customHeight="1" x14ac:dyDescent="0.25">
      <c r="B13" s="25" t="s">
        <v>71</v>
      </c>
      <c r="C13" s="26">
        <v>2</v>
      </c>
      <c r="D13" s="27" t="s">
        <v>72</v>
      </c>
    </row>
    <row r="15" spans="2:4" ht="34.5" x14ac:dyDescent="0.25">
      <c r="B15" s="28" t="s">
        <v>73</v>
      </c>
    </row>
    <row r="16" spans="2:4" ht="48" customHeight="1" x14ac:dyDescent="0.25">
      <c r="B16" s="123" t="s">
        <v>74</v>
      </c>
      <c r="C16" s="124"/>
      <c r="D16" s="124"/>
    </row>
    <row r="18" spans="2:4" ht="17.25" x14ac:dyDescent="0.25">
      <c r="B18" s="9" t="s">
        <v>75</v>
      </c>
    </row>
    <row r="19" spans="2:4" ht="21.95" customHeight="1" x14ac:dyDescent="0.25">
      <c r="B19" s="121" t="s">
        <v>76</v>
      </c>
      <c r="C19" s="122"/>
      <c r="D19" s="122"/>
    </row>
    <row r="20" spans="2:4" ht="21.95" customHeight="1" x14ac:dyDescent="0.25">
      <c r="B20" s="121" t="s">
        <v>77</v>
      </c>
      <c r="C20" s="122"/>
      <c r="D20" s="122"/>
    </row>
    <row r="21" spans="2:4" ht="21.95" customHeight="1" x14ac:dyDescent="0.25">
      <c r="B21" s="121" t="s">
        <v>78</v>
      </c>
      <c r="C21" s="122"/>
      <c r="D21" s="122"/>
    </row>
  </sheetData>
  <mergeCells count="4">
    <mergeCell ref="B21:D21"/>
    <mergeCell ref="B16:D16"/>
    <mergeCell ref="B20:D20"/>
    <mergeCell ref="B19:D19"/>
  </mergeCell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B5E52"/>
    <pageSetUpPr fitToPage="1"/>
  </sheetPr>
  <dimension ref="A1:J20"/>
  <sheetViews>
    <sheetView showGridLines="0" workbookViewId="0">
      <pane ySplit="3" topLeftCell="A4" activePane="bottomLeft" state="frozen"/>
      <selection pane="bottomLeft" activeCell="A2" sqref="A2:XFD2"/>
    </sheetView>
  </sheetViews>
  <sheetFormatPr defaultRowHeight="15" x14ac:dyDescent="0.25"/>
  <cols>
    <col min="1" max="1" width="5" customWidth="1"/>
    <col min="2" max="2" width="24" customWidth="1"/>
    <col min="3" max="3" width="40" customWidth="1"/>
    <col min="4" max="4" width="11" customWidth="1"/>
    <col min="5" max="5" width="10" customWidth="1"/>
    <col min="6" max="6" width="9" customWidth="1"/>
    <col min="7" max="8" width="13" customWidth="1"/>
    <col min="9" max="9" width="12" customWidth="1"/>
    <col min="10" max="10" width="44" customWidth="1"/>
  </cols>
  <sheetData>
    <row r="1" spans="1:10" x14ac:dyDescent="0.25">
      <c r="A1" s="16" t="s">
        <v>53</v>
      </c>
    </row>
    <row r="3" spans="1:10" ht="32.1" customHeight="1" x14ac:dyDescent="0.25">
      <c r="A3" s="29" t="s">
        <v>79</v>
      </c>
      <c r="B3" s="29" t="s">
        <v>80</v>
      </c>
      <c r="C3" s="29" t="s">
        <v>81</v>
      </c>
      <c r="D3" s="29" t="s">
        <v>82</v>
      </c>
      <c r="E3" s="29" t="s">
        <v>83</v>
      </c>
      <c r="F3" s="29" t="s">
        <v>84</v>
      </c>
      <c r="G3" s="29" t="s">
        <v>85</v>
      </c>
      <c r="H3" s="29" t="s">
        <v>86</v>
      </c>
      <c r="I3" s="29" t="s">
        <v>87</v>
      </c>
      <c r="J3" s="29" t="s">
        <v>88</v>
      </c>
    </row>
    <row r="4" spans="1:10" ht="24" customHeight="1" x14ac:dyDescent="0.25">
      <c r="A4" s="30">
        <v>1</v>
      </c>
      <c r="B4" s="31" t="s">
        <v>89</v>
      </c>
      <c r="C4" s="32" t="s">
        <v>90</v>
      </c>
      <c r="D4" s="33">
        <v>30</v>
      </c>
      <c r="E4" s="33">
        <v>15</v>
      </c>
      <c r="F4" s="33">
        <v>0</v>
      </c>
      <c r="G4" s="30" t="s">
        <v>91</v>
      </c>
      <c r="H4" s="30" t="s">
        <v>92</v>
      </c>
      <c r="I4" s="34" t="s">
        <v>93</v>
      </c>
      <c r="J4" s="32"/>
    </row>
    <row r="5" spans="1:10" ht="24" customHeight="1" x14ac:dyDescent="0.25">
      <c r="A5" s="35">
        <v>2</v>
      </c>
      <c r="B5" s="36" t="s">
        <v>94</v>
      </c>
      <c r="C5" s="37" t="s">
        <v>95</v>
      </c>
      <c r="D5" s="38">
        <v>6</v>
      </c>
      <c r="E5" s="38">
        <v>3</v>
      </c>
      <c r="F5" s="38">
        <v>0</v>
      </c>
      <c r="G5" s="35" t="s">
        <v>96</v>
      </c>
      <c r="H5" s="35" t="s">
        <v>97</v>
      </c>
      <c r="I5" s="39" t="s">
        <v>98</v>
      </c>
      <c r="J5" s="37" t="s">
        <v>99</v>
      </c>
    </row>
    <row r="6" spans="1:10" ht="24" customHeight="1" x14ac:dyDescent="0.25">
      <c r="A6" s="35">
        <v>3</v>
      </c>
      <c r="B6" s="36" t="s">
        <v>100</v>
      </c>
      <c r="C6" s="37" t="s">
        <v>101</v>
      </c>
      <c r="D6" s="38">
        <v>2</v>
      </c>
      <c r="E6" s="38">
        <v>1</v>
      </c>
      <c r="F6" s="38">
        <v>0</v>
      </c>
      <c r="G6" s="35" t="s">
        <v>102</v>
      </c>
      <c r="H6" s="35" t="s">
        <v>92</v>
      </c>
      <c r="I6" s="39" t="s">
        <v>98</v>
      </c>
      <c r="J6" s="37" t="s">
        <v>103</v>
      </c>
    </row>
    <row r="7" spans="1:10" ht="24" customHeight="1" x14ac:dyDescent="0.25">
      <c r="A7" s="40">
        <v>4</v>
      </c>
      <c r="B7" s="41" t="s">
        <v>104</v>
      </c>
      <c r="C7" s="42" t="s">
        <v>105</v>
      </c>
      <c r="D7" s="43">
        <v>2</v>
      </c>
      <c r="E7" s="43">
        <v>1</v>
      </c>
      <c r="F7" s="43">
        <v>0</v>
      </c>
      <c r="G7" s="40" t="s">
        <v>106</v>
      </c>
      <c r="H7" s="40" t="s">
        <v>92</v>
      </c>
      <c r="I7" s="44" t="s">
        <v>93</v>
      </c>
      <c r="J7" s="42"/>
    </row>
    <row r="8" spans="1:10" ht="24" customHeight="1" x14ac:dyDescent="0.25">
      <c r="A8" s="35">
        <v>5</v>
      </c>
      <c r="B8" s="36" t="s">
        <v>107</v>
      </c>
      <c r="C8" s="37" t="s">
        <v>108</v>
      </c>
      <c r="D8" s="38">
        <v>0</v>
      </c>
      <c r="E8" s="38">
        <v>0</v>
      </c>
      <c r="F8" s="38">
        <v>0</v>
      </c>
      <c r="G8" s="35" t="s">
        <v>92</v>
      </c>
      <c r="H8" s="35" t="s">
        <v>92</v>
      </c>
      <c r="I8" s="39" t="s">
        <v>83</v>
      </c>
      <c r="J8" s="37" t="s">
        <v>109</v>
      </c>
    </row>
    <row r="9" spans="1:10" ht="24" customHeight="1" x14ac:dyDescent="0.25">
      <c r="A9" s="35">
        <v>6</v>
      </c>
      <c r="B9" s="36" t="s">
        <v>110</v>
      </c>
      <c r="C9" s="37" t="s">
        <v>111</v>
      </c>
      <c r="D9" s="38">
        <v>0</v>
      </c>
      <c r="E9" s="38">
        <v>0</v>
      </c>
      <c r="F9" s="38">
        <v>0</v>
      </c>
      <c r="G9" s="35" t="s">
        <v>92</v>
      </c>
      <c r="H9" s="35" t="s">
        <v>92</v>
      </c>
      <c r="I9" s="39" t="s">
        <v>83</v>
      </c>
      <c r="J9" s="37" t="s">
        <v>109</v>
      </c>
    </row>
    <row r="10" spans="1:10" ht="24" customHeight="1" x14ac:dyDescent="0.25">
      <c r="A10" s="30">
        <v>7</v>
      </c>
      <c r="B10" s="31" t="s">
        <v>112</v>
      </c>
      <c r="C10" s="32" t="s">
        <v>113</v>
      </c>
      <c r="D10" s="33">
        <v>6</v>
      </c>
      <c r="E10" s="33">
        <v>3</v>
      </c>
      <c r="F10" s="33">
        <v>0</v>
      </c>
      <c r="G10" s="30" t="s">
        <v>114</v>
      </c>
      <c r="H10" s="30" t="s">
        <v>92</v>
      </c>
      <c r="I10" s="34" t="s">
        <v>93</v>
      </c>
      <c r="J10" s="32"/>
    </row>
    <row r="11" spans="1:10" ht="24" customHeight="1" x14ac:dyDescent="0.25">
      <c r="A11" s="35">
        <v>8</v>
      </c>
      <c r="B11" s="36" t="s">
        <v>115</v>
      </c>
      <c r="C11" s="37" t="s">
        <v>116</v>
      </c>
      <c r="D11" s="38">
        <v>4</v>
      </c>
      <c r="E11" s="38">
        <v>2</v>
      </c>
      <c r="F11" s="38">
        <v>1</v>
      </c>
      <c r="G11" s="35" t="s">
        <v>117</v>
      </c>
      <c r="H11" s="35" t="s">
        <v>118</v>
      </c>
      <c r="I11" s="39" t="s">
        <v>98</v>
      </c>
      <c r="J11" s="37" t="s">
        <v>99</v>
      </c>
    </row>
    <row r="12" spans="1:10" ht="24" customHeight="1" x14ac:dyDescent="0.25">
      <c r="A12" s="35">
        <v>9</v>
      </c>
      <c r="B12" s="36" t="s">
        <v>119</v>
      </c>
      <c r="C12" s="37" t="s">
        <v>120</v>
      </c>
      <c r="D12" s="38">
        <v>6</v>
      </c>
      <c r="E12" s="38">
        <v>3</v>
      </c>
      <c r="F12" s="38">
        <v>0</v>
      </c>
      <c r="G12" s="35" t="s">
        <v>106</v>
      </c>
      <c r="H12" s="35" t="s">
        <v>97</v>
      </c>
      <c r="I12" s="39" t="s">
        <v>98</v>
      </c>
      <c r="J12" s="37" t="s">
        <v>99</v>
      </c>
    </row>
    <row r="13" spans="1:10" ht="24" customHeight="1" x14ac:dyDescent="0.25">
      <c r="A13" s="40">
        <v>10</v>
      </c>
      <c r="B13" s="41" t="s">
        <v>121</v>
      </c>
      <c r="C13" s="42" t="s">
        <v>122</v>
      </c>
      <c r="D13" s="43">
        <v>4</v>
      </c>
      <c r="E13" s="43">
        <v>2</v>
      </c>
      <c r="F13" s="43">
        <v>0</v>
      </c>
      <c r="G13" s="40" t="s">
        <v>123</v>
      </c>
      <c r="H13" s="40" t="s">
        <v>92</v>
      </c>
      <c r="I13" s="44" t="s">
        <v>93</v>
      </c>
      <c r="J13" s="42"/>
    </row>
    <row r="14" spans="1:10" ht="24" customHeight="1" x14ac:dyDescent="0.25">
      <c r="A14" s="35">
        <v>11</v>
      </c>
      <c r="B14" s="36" t="s">
        <v>124</v>
      </c>
      <c r="C14" s="37" t="s">
        <v>125</v>
      </c>
      <c r="D14" s="38">
        <v>2</v>
      </c>
      <c r="E14" s="38">
        <v>1</v>
      </c>
      <c r="F14" s="38">
        <v>0</v>
      </c>
      <c r="G14" s="35" t="s">
        <v>126</v>
      </c>
      <c r="H14" s="35" t="s">
        <v>127</v>
      </c>
      <c r="I14" s="39" t="s">
        <v>98</v>
      </c>
      <c r="J14" s="37" t="s">
        <v>99</v>
      </c>
    </row>
    <row r="15" spans="1:10" ht="24" customHeight="1" x14ac:dyDescent="0.25">
      <c r="A15" s="35">
        <v>12</v>
      </c>
      <c r="B15" s="36" t="s">
        <v>128</v>
      </c>
      <c r="C15" s="37" t="s">
        <v>129</v>
      </c>
      <c r="D15" s="38">
        <v>2</v>
      </c>
      <c r="E15" s="38">
        <v>1</v>
      </c>
      <c r="F15" s="38">
        <v>1</v>
      </c>
      <c r="G15" s="35" t="s">
        <v>130</v>
      </c>
      <c r="H15" s="35" t="s">
        <v>131</v>
      </c>
      <c r="I15" s="39" t="s">
        <v>98</v>
      </c>
      <c r="J15" s="37" t="s">
        <v>99</v>
      </c>
    </row>
    <row r="16" spans="1:10" ht="24" customHeight="1" x14ac:dyDescent="0.25">
      <c r="A16" s="35">
        <v>13</v>
      </c>
      <c r="B16" s="36" t="s">
        <v>132</v>
      </c>
      <c r="C16" s="37" t="s">
        <v>133</v>
      </c>
      <c r="D16" s="38">
        <v>0</v>
      </c>
      <c r="E16" s="38">
        <v>0</v>
      </c>
      <c r="F16" s="38">
        <v>0</v>
      </c>
      <c r="G16" s="35" t="s">
        <v>92</v>
      </c>
      <c r="H16" s="35" t="s">
        <v>92</v>
      </c>
      <c r="I16" s="39" t="s">
        <v>83</v>
      </c>
      <c r="J16" s="37" t="s">
        <v>109</v>
      </c>
    </row>
    <row r="17" spans="1:10" ht="24" customHeight="1" x14ac:dyDescent="0.25">
      <c r="A17" s="40">
        <v>14</v>
      </c>
      <c r="B17" s="41" t="s">
        <v>134</v>
      </c>
      <c r="C17" s="42" t="s">
        <v>135</v>
      </c>
      <c r="D17" s="43">
        <v>6</v>
      </c>
      <c r="E17" s="43">
        <v>3</v>
      </c>
      <c r="F17" s="43">
        <v>0</v>
      </c>
      <c r="G17" s="40" t="s">
        <v>136</v>
      </c>
      <c r="H17" s="40" t="s">
        <v>92</v>
      </c>
      <c r="I17" s="44" t="s">
        <v>93</v>
      </c>
      <c r="J17" s="42"/>
    </row>
    <row r="18" spans="1:10" ht="24" customHeight="1" x14ac:dyDescent="0.25">
      <c r="A18" s="30">
        <v>15</v>
      </c>
      <c r="B18" s="31" t="s">
        <v>137</v>
      </c>
      <c r="C18" s="32" t="s">
        <v>138</v>
      </c>
      <c r="D18" s="33">
        <v>6</v>
      </c>
      <c r="E18" s="33">
        <v>3</v>
      </c>
      <c r="F18" s="33">
        <v>0</v>
      </c>
      <c r="G18" s="30" t="s">
        <v>106</v>
      </c>
      <c r="H18" s="30" t="s">
        <v>92</v>
      </c>
      <c r="I18" s="34" t="s">
        <v>93</v>
      </c>
      <c r="J18" s="32"/>
    </row>
    <row r="19" spans="1:10" ht="24" customHeight="1" x14ac:dyDescent="0.25">
      <c r="A19" s="40">
        <v>16</v>
      </c>
      <c r="B19" s="41" t="s">
        <v>139</v>
      </c>
      <c r="C19" s="42" t="s">
        <v>140</v>
      </c>
      <c r="D19" s="43">
        <v>2</v>
      </c>
      <c r="E19" s="43">
        <v>1</v>
      </c>
      <c r="F19" s="43">
        <v>0</v>
      </c>
      <c r="G19" s="40" t="s">
        <v>123</v>
      </c>
      <c r="H19" s="40" t="s">
        <v>92</v>
      </c>
      <c r="I19" s="44" t="s">
        <v>93</v>
      </c>
      <c r="J19" s="42"/>
    </row>
    <row r="20" spans="1:10" ht="24" customHeight="1" x14ac:dyDescent="0.25">
      <c r="A20" s="30">
        <v>17</v>
      </c>
      <c r="B20" s="31" t="s">
        <v>141</v>
      </c>
      <c r="C20" s="32" t="s">
        <v>142</v>
      </c>
      <c r="D20" s="33">
        <v>10</v>
      </c>
      <c r="E20" s="33">
        <v>5</v>
      </c>
      <c r="F20" s="33">
        <v>0</v>
      </c>
      <c r="G20" s="30" t="s">
        <v>91</v>
      </c>
      <c r="H20" s="30" t="s">
        <v>92</v>
      </c>
      <c r="I20" s="34" t="s">
        <v>93</v>
      </c>
      <c r="J20" s="32"/>
    </row>
  </sheetData>
  <autoFilter ref="A3:J20" xr:uid="{00000000-0009-0000-0000-000002000000}"/>
  <conditionalFormatting sqref="D4:D20">
    <cfRule type="dataBar" priority="1">
      <dataBar>
        <cfvo type="num" val="0"/>
        <cfvo type="max"/>
        <color rgb="FF177A5E"/>
      </dataBar>
    </cfRule>
  </conditionalFormatting>
  <hyperlinks>
    <hyperlink ref="A1" location="'Contents'!A1" display="‹ Contents" xr:uid="{00000000-0004-0000-0200-000000000000}"/>
  </hyperlink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B5E52"/>
    <pageSetUpPr fitToPage="1"/>
  </sheetPr>
  <dimension ref="A1:L23"/>
  <sheetViews>
    <sheetView showGridLines="0" workbookViewId="0">
      <pane ySplit="3" topLeftCell="A4" activePane="bottomLeft" state="frozen"/>
      <selection pane="bottomLeft" activeCell="A2" sqref="A2:XFD2"/>
    </sheetView>
  </sheetViews>
  <sheetFormatPr defaultRowHeight="15" x14ac:dyDescent="0.25"/>
  <cols>
    <col min="1" max="1" width="5" customWidth="1"/>
    <col min="2" max="2" width="24" customWidth="1"/>
    <col min="3" max="3" width="11" customWidth="1"/>
    <col min="4" max="4" width="10" customWidth="1"/>
    <col min="5" max="5" width="8" customWidth="1"/>
    <col min="6" max="7" width="12" customWidth="1"/>
    <col min="8" max="8" width="13" customWidth="1"/>
    <col min="9" max="9" width="12" customWidth="1"/>
    <col min="10" max="10" width="13" customWidth="1"/>
    <col min="11" max="11" width="11" customWidth="1"/>
    <col min="12" max="12" width="13" customWidth="1"/>
  </cols>
  <sheetData>
    <row r="1" spans="1:12" x14ac:dyDescent="0.25">
      <c r="A1" s="16" t="s">
        <v>53</v>
      </c>
    </row>
    <row r="3" spans="1:12" ht="32.1" customHeight="1" x14ac:dyDescent="0.25">
      <c r="A3" s="29" t="s">
        <v>79</v>
      </c>
      <c r="B3" s="29" t="s">
        <v>80</v>
      </c>
      <c r="C3" s="29" t="s">
        <v>82</v>
      </c>
      <c r="D3" s="29" t="s">
        <v>83</v>
      </c>
      <c r="E3" s="29" t="s">
        <v>84</v>
      </c>
      <c r="F3" s="29" t="s">
        <v>143</v>
      </c>
      <c r="G3" s="29" t="s">
        <v>144</v>
      </c>
      <c r="H3" s="29" t="s">
        <v>61</v>
      </c>
      <c r="I3" s="29" t="s">
        <v>145</v>
      </c>
      <c r="J3" s="29" t="s">
        <v>146</v>
      </c>
      <c r="K3" s="29" t="s">
        <v>147</v>
      </c>
      <c r="L3" s="29" t="s">
        <v>148</v>
      </c>
    </row>
    <row r="4" spans="1:12" ht="21" customHeight="1" x14ac:dyDescent="0.25">
      <c r="A4" s="30">
        <v>1</v>
      </c>
      <c r="B4" s="31" t="s">
        <v>89</v>
      </c>
      <c r="C4" s="33">
        <v>30</v>
      </c>
      <c r="D4" s="33">
        <v>15</v>
      </c>
      <c r="E4" s="33">
        <v>0</v>
      </c>
      <c r="F4" s="33">
        <v>7500</v>
      </c>
      <c r="G4" s="33">
        <v>1800</v>
      </c>
      <c r="H4" s="33">
        <v>9300</v>
      </c>
      <c r="I4" s="45">
        <v>1.2</v>
      </c>
      <c r="J4" s="46">
        <v>0.04</v>
      </c>
      <c r="K4" s="47">
        <v>0.35714285714285721</v>
      </c>
      <c r="L4" s="45">
        <v>1.2</v>
      </c>
    </row>
    <row r="5" spans="1:12" ht="21" customHeight="1" x14ac:dyDescent="0.25">
      <c r="A5" s="40">
        <v>2</v>
      </c>
      <c r="B5" s="41" t="s">
        <v>94</v>
      </c>
      <c r="C5" s="43">
        <v>6</v>
      </c>
      <c r="D5" s="43">
        <v>3</v>
      </c>
      <c r="E5" s="43">
        <v>0</v>
      </c>
      <c r="F5" s="43">
        <v>1500</v>
      </c>
      <c r="G5" s="43">
        <v>360</v>
      </c>
      <c r="H5" s="43">
        <v>1860</v>
      </c>
      <c r="I5" s="48">
        <v>0.24</v>
      </c>
      <c r="J5" s="49">
        <v>0.04</v>
      </c>
      <c r="K5" s="50">
        <v>7.1428571428571425E-2</v>
      </c>
      <c r="L5" s="48">
        <v>1.44</v>
      </c>
    </row>
    <row r="6" spans="1:12" ht="21" customHeight="1" x14ac:dyDescent="0.25">
      <c r="A6" s="30">
        <v>3</v>
      </c>
      <c r="B6" s="31" t="s">
        <v>100</v>
      </c>
      <c r="C6" s="33">
        <v>2</v>
      </c>
      <c r="D6" s="33">
        <v>1</v>
      </c>
      <c r="E6" s="33">
        <v>0</v>
      </c>
      <c r="F6" s="33">
        <v>500</v>
      </c>
      <c r="G6" s="33">
        <v>120</v>
      </c>
      <c r="H6" s="33">
        <v>620</v>
      </c>
      <c r="I6" s="45">
        <v>0.08</v>
      </c>
      <c r="J6" s="46">
        <v>0.04</v>
      </c>
      <c r="K6" s="47">
        <v>2.3809523809523812E-2</v>
      </c>
      <c r="L6" s="45">
        <v>1.52</v>
      </c>
    </row>
    <row r="7" spans="1:12" ht="21" customHeight="1" x14ac:dyDescent="0.25">
      <c r="A7" s="40">
        <v>4</v>
      </c>
      <c r="B7" s="41" t="s">
        <v>104</v>
      </c>
      <c r="C7" s="43">
        <v>2</v>
      </c>
      <c r="D7" s="43">
        <v>1</v>
      </c>
      <c r="E7" s="43">
        <v>0</v>
      </c>
      <c r="F7" s="43">
        <v>500</v>
      </c>
      <c r="G7" s="43">
        <v>120</v>
      </c>
      <c r="H7" s="43">
        <v>620</v>
      </c>
      <c r="I7" s="48">
        <v>0.08</v>
      </c>
      <c r="J7" s="49">
        <v>0.04</v>
      </c>
      <c r="K7" s="50">
        <v>2.3809523809523812E-2</v>
      </c>
      <c r="L7" s="48">
        <v>1.6</v>
      </c>
    </row>
    <row r="8" spans="1:12" ht="21" customHeight="1" x14ac:dyDescent="0.25">
      <c r="A8" s="35">
        <v>5</v>
      </c>
      <c r="B8" s="36" t="s">
        <v>107</v>
      </c>
      <c r="C8" s="38">
        <v>0</v>
      </c>
      <c r="D8" s="38">
        <v>0</v>
      </c>
      <c r="E8" s="38">
        <v>0</v>
      </c>
      <c r="F8" s="38">
        <v>0</v>
      </c>
      <c r="G8" s="38">
        <v>0</v>
      </c>
      <c r="H8" s="38">
        <v>0</v>
      </c>
      <c r="I8" s="51">
        <v>0</v>
      </c>
      <c r="J8" s="52">
        <v>0</v>
      </c>
      <c r="K8" s="53">
        <v>0</v>
      </c>
      <c r="L8" s="51">
        <v>1.6</v>
      </c>
    </row>
    <row r="9" spans="1:12" ht="21" customHeight="1" x14ac:dyDescent="0.25">
      <c r="A9" s="35">
        <v>6</v>
      </c>
      <c r="B9" s="36" t="s">
        <v>110</v>
      </c>
      <c r="C9" s="38">
        <v>0</v>
      </c>
      <c r="D9" s="38">
        <v>0</v>
      </c>
      <c r="E9" s="38">
        <v>0</v>
      </c>
      <c r="F9" s="38">
        <v>0</v>
      </c>
      <c r="G9" s="38">
        <v>0</v>
      </c>
      <c r="H9" s="38">
        <v>0</v>
      </c>
      <c r="I9" s="51">
        <v>0</v>
      </c>
      <c r="J9" s="52">
        <v>0</v>
      </c>
      <c r="K9" s="53">
        <v>0</v>
      </c>
      <c r="L9" s="51">
        <v>1.6</v>
      </c>
    </row>
    <row r="10" spans="1:12" ht="21" customHeight="1" x14ac:dyDescent="0.25">
      <c r="A10" s="30">
        <v>7</v>
      </c>
      <c r="B10" s="31" t="s">
        <v>112</v>
      </c>
      <c r="C10" s="33">
        <v>6</v>
      </c>
      <c r="D10" s="33">
        <v>3</v>
      </c>
      <c r="E10" s="33">
        <v>0</v>
      </c>
      <c r="F10" s="33">
        <v>1500</v>
      </c>
      <c r="G10" s="33">
        <v>360</v>
      </c>
      <c r="H10" s="33">
        <v>1860</v>
      </c>
      <c r="I10" s="45">
        <v>0.24</v>
      </c>
      <c r="J10" s="46">
        <v>0.04</v>
      </c>
      <c r="K10" s="47">
        <v>7.1428571428571425E-2</v>
      </c>
      <c r="L10" s="45">
        <v>1.84</v>
      </c>
    </row>
    <row r="11" spans="1:12" ht="21" customHeight="1" x14ac:dyDescent="0.25">
      <c r="A11" s="40">
        <v>8</v>
      </c>
      <c r="B11" s="41" t="s">
        <v>115</v>
      </c>
      <c r="C11" s="43">
        <v>4</v>
      </c>
      <c r="D11" s="43">
        <v>2</v>
      </c>
      <c r="E11" s="43">
        <v>1</v>
      </c>
      <c r="F11" s="43">
        <v>500</v>
      </c>
      <c r="G11" s="43">
        <v>120</v>
      </c>
      <c r="H11" s="43">
        <v>620</v>
      </c>
      <c r="I11" s="48">
        <v>0.08</v>
      </c>
      <c r="J11" s="49">
        <v>0.02</v>
      </c>
      <c r="K11" s="50">
        <v>2.3809523809523812E-2</v>
      </c>
      <c r="L11" s="48">
        <v>1.92</v>
      </c>
    </row>
    <row r="12" spans="1:12" ht="21" customHeight="1" x14ac:dyDescent="0.25">
      <c r="A12" s="30">
        <v>9</v>
      </c>
      <c r="B12" s="31" t="s">
        <v>119</v>
      </c>
      <c r="C12" s="33">
        <v>6</v>
      </c>
      <c r="D12" s="33">
        <v>3</v>
      </c>
      <c r="E12" s="33">
        <v>0</v>
      </c>
      <c r="F12" s="33">
        <v>1500</v>
      </c>
      <c r="G12" s="33">
        <v>360</v>
      </c>
      <c r="H12" s="33">
        <v>1860</v>
      </c>
      <c r="I12" s="45">
        <v>0.24</v>
      </c>
      <c r="J12" s="46">
        <v>0.04</v>
      </c>
      <c r="K12" s="47">
        <v>7.1428571428571425E-2</v>
      </c>
      <c r="L12" s="45">
        <v>2.16</v>
      </c>
    </row>
    <row r="13" spans="1:12" ht="21" customHeight="1" x14ac:dyDescent="0.25">
      <c r="A13" s="40">
        <v>10</v>
      </c>
      <c r="B13" s="41" t="s">
        <v>121</v>
      </c>
      <c r="C13" s="43">
        <v>4</v>
      </c>
      <c r="D13" s="43">
        <v>2</v>
      </c>
      <c r="E13" s="43">
        <v>0</v>
      </c>
      <c r="F13" s="43">
        <v>1000</v>
      </c>
      <c r="G13" s="43">
        <v>240</v>
      </c>
      <c r="H13" s="43">
        <v>1240</v>
      </c>
      <c r="I13" s="48">
        <v>0.16</v>
      </c>
      <c r="J13" s="49">
        <v>0.04</v>
      </c>
      <c r="K13" s="50">
        <v>4.7619047619047623E-2</v>
      </c>
      <c r="L13" s="48">
        <v>2.3199999999999998</v>
      </c>
    </row>
    <row r="14" spans="1:12" ht="21" customHeight="1" x14ac:dyDescent="0.25">
      <c r="A14" s="30">
        <v>11</v>
      </c>
      <c r="B14" s="31" t="s">
        <v>124</v>
      </c>
      <c r="C14" s="33">
        <v>2</v>
      </c>
      <c r="D14" s="33">
        <v>1</v>
      </c>
      <c r="E14" s="33">
        <v>0</v>
      </c>
      <c r="F14" s="33">
        <v>500</v>
      </c>
      <c r="G14" s="33">
        <v>120</v>
      </c>
      <c r="H14" s="33">
        <v>620</v>
      </c>
      <c r="I14" s="45">
        <v>0.08</v>
      </c>
      <c r="J14" s="46">
        <v>0.04</v>
      </c>
      <c r="K14" s="47">
        <v>2.3809523809523812E-2</v>
      </c>
      <c r="L14" s="45">
        <v>2.4</v>
      </c>
    </row>
    <row r="15" spans="1:12" ht="21" customHeight="1" x14ac:dyDescent="0.25">
      <c r="A15" s="40">
        <v>12</v>
      </c>
      <c r="B15" s="41" t="s">
        <v>128</v>
      </c>
      <c r="C15" s="43">
        <v>2</v>
      </c>
      <c r="D15" s="43">
        <v>1</v>
      </c>
      <c r="E15" s="43">
        <v>1</v>
      </c>
      <c r="F15" s="43">
        <v>0</v>
      </c>
      <c r="G15" s="43">
        <v>0</v>
      </c>
      <c r="H15" s="43">
        <v>0</v>
      </c>
      <c r="I15" s="48">
        <v>0</v>
      </c>
      <c r="J15" s="49">
        <v>0</v>
      </c>
      <c r="K15" s="50">
        <v>0</v>
      </c>
      <c r="L15" s="48">
        <v>2.4</v>
      </c>
    </row>
    <row r="16" spans="1:12" ht="21" customHeight="1" x14ac:dyDescent="0.25">
      <c r="A16" s="35">
        <v>13</v>
      </c>
      <c r="B16" s="36" t="s">
        <v>132</v>
      </c>
      <c r="C16" s="38">
        <v>0</v>
      </c>
      <c r="D16" s="38">
        <v>0</v>
      </c>
      <c r="E16" s="38">
        <v>0</v>
      </c>
      <c r="F16" s="38">
        <v>0</v>
      </c>
      <c r="G16" s="38">
        <v>0</v>
      </c>
      <c r="H16" s="38">
        <v>0</v>
      </c>
      <c r="I16" s="51">
        <v>0</v>
      </c>
      <c r="J16" s="52">
        <v>0</v>
      </c>
      <c r="K16" s="53">
        <v>0</v>
      </c>
      <c r="L16" s="51">
        <v>2.4</v>
      </c>
    </row>
    <row r="17" spans="1:12" ht="21" customHeight="1" x14ac:dyDescent="0.25">
      <c r="A17" s="40">
        <v>14</v>
      </c>
      <c r="B17" s="41" t="s">
        <v>134</v>
      </c>
      <c r="C17" s="43">
        <v>6</v>
      </c>
      <c r="D17" s="43">
        <v>3</v>
      </c>
      <c r="E17" s="43">
        <v>0</v>
      </c>
      <c r="F17" s="43">
        <v>1500</v>
      </c>
      <c r="G17" s="43">
        <v>360</v>
      </c>
      <c r="H17" s="43">
        <v>1860</v>
      </c>
      <c r="I17" s="48">
        <v>0.24</v>
      </c>
      <c r="J17" s="49">
        <v>0.04</v>
      </c>
      <c r="K17" s="50">
        <v>7.1428571428571425E-2</v>
      </c>
      <c r="L17" s="48">
        <v>2.640000000000001</v>
      </c>
    </row>
    <row r="18" spans="1:12" ht="21" customHeight="1" x14ac:dyDescent="0.25">
      <c r="A18" s="30">
        <v>15</v>
      </c>
      <c r="B18" s="31" t="s">
        <v>137</v>
      </c>
      <c r="C18" s="33">
        <v>6</v>
      </c>
      <c r="D18" s="33">
        <v>3</v>
      </c>
      <c r="E18" s="33">
        <v>0</v>
      </c>
      <c r="F18" s="33">
        <v>1500</v>
      </c>
      <c r="G18" s="33">
        <v>360</v>
      </c>
      <c r="H18" s="33">
        <v>1860</v>
      </c>
      <c r="I18" s="45">
        <v>0.24</v>
      </c>
      <c r="J18" s="46">
        <v>0.04</v>
      </c>
      <c r="K18" s="47">
        <v>7.1428571428571425E-2</v>
      </c>
      <c r="L18" s="45">
        <v>2.8800000000000008</v>
      </c>
    </row>
    <row r="19" spans="1:12" ht="21" customHeight="1" x14ac:dyDescent="0.25">
      <c r="A19" s="40">
        <v>16</v>
      </c>
      <c r="B19" s="41" t="s">
        <v>139</v>
      </c>
      <c r="C19" s="43">
        <v>2</v>
      </c>
      <c r="D19" s="43">
        <v>1</v>
      </c>
      <c r="E19" s="43">
        <v>0</v>
      </c>
      <c r="F19" s="43">
        <v>500</v>
      </c>
      <c r="G19" s="43">
        <v>120</v>
      </c>
      <c r="H19" s="43">
        <v>620</v>
      </c>
      <c r="I19" s="48">
        <v>0.08</v>
      </c>
      <c r="J19" s="49">
        <v>0.04</v>
      </c>
      <c r="K19" s="50">
        <v>2.3809523809523812E-2</v>
      </c>
      <c r="L19" s="48">
        <v>2.9600000000000009</v>
      </c>
    </row>
    <row r="20" spans="1:12" ht="21" customHeight="1" x14ac:dyDescent="0.25">
      <c r="A20" s="30">
        <v>17</v>
      </c>
      <c r="B20" s="31" t="s">
        <v>141</v>
      </c>
      <c r="C20" s="33">
        <v>10</v>
      </c>
      <c r="D20" s="33">
        <v>5</v>
      </c>
      <c r="E20" s="33">
        <v>0</v>
      </c>
      <c r="F20" s="33">
        <v>2500</v>
      </c>
      <c r="G20" s="33">
        <v>600</v>
      </c>
      <c r="H20" s="33">
        <v>3100</v>
      </c>
      <c r="I20" s="45">
        <v>0.4</v>
      </c>
      <c r="J20" s="46">
        <v>0.04</v>
      </c>
      <c r="K20" s="47">
        <v>0.1190476190476191</v>
      </c>
      <c r="L20" s="45">
        <v>3.3600000000000012</v>
      </c>
    </row>
    <row r="21" spans="1:12" x14ac:dyDescent="0.25">
      <c r="A21" s="54"/>
      <c r="B21" s="55" t="s">
        <v>149</v>
      </c>
      <c r="C21" s="56">
        <v>88</v>
      </c>
      <c r="D21" s="56">
        <v>44</v>
      </c>
      <c r="E21" s="56">
        <v>2</v>
      </c>
      <c r="F21" s="56">
        <v>21000</v>
      </c>
      <c r="G21" s="56">
        <v>5040</v>
      </c>
      <c r="H21" s="56">
        <v>26040</v>
      </c>
      <c r="I21" s="57">
        <v>3.36</v>
      </c>
      <c r="J21" s="58">
        <v>3.8181818181818178E-2</v>
      </c>
      <c r="K21" s="59">
        <v>1</v>
      </c>
      <c r="L21" s="57">
        <v>3.36</v>
      </c>
    </row>
    <row r="23" spans="1:12" ht="44.1" customHeight="1" x14ac:dyDescent="0.25">
      <c r="A23" s="125" t="s">
        <v>150</v>
      </c>
      <c r="B23" s="122"/>
      <c r="C23" s="122"/>
      <c r="D23" s="122"/>
      <c r="E23" s="122"/>
      <c r="F23" s="122"/>
      <c r="G23" s="122"/>
      <c r="H23" s="122"/>
      <c r="I23" s="122"/>
    </row>
  </sheetData>
  <mergeCells count="1">
    <mergeCell ref="A23:I23"/>
  </mergeCells>
  <conditionalFormatting sqref="H4:H20">
    <cfRule type="dataBar" priority="1">
      <dataBar>
        <cfvo type="num" val="0"/>
        <cfvo type="max"/>
        <color rgb="FF177A5E"/>
      </dataBar>
    </cfRule>
  </conditionalFormatting>
  <hyperlinks>
    <hyperlink ref="A1" location="'Contents'!A1" display="‹ Contents" xr:uid="{00000000-0004-0000-0300-000000000000}"/>
  </hyperlink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B5E52"/>
    <pageSetUpPr fitToPage="1"/>
  </sheetPr>
  <dimension ref="A1:J14"/>
  <sheetViews>
    <sheetView showGridLines="0" tabSelected="1" workbookViewId="0">
      <pane ySplit="5" topLeftCell="A6" activePane="bottomLeft" state="frozen"/>
      <selection pane="bottomLeft" activeCell="A3" sqref="A3:XFD3"/>
    </sheetView>
  </sheetViews>
  <sheetFormatPr defaultRowHeight="15" x14ac:dyDescent="0.25"/>
  <cols>
    <col min="1" max="1" width="30" customWidth="1"/>
    <col min="2" max="2" width="11" customWidth="1"/>
    <col min="3" max="4" width="13" customWidth="1"/>
    <col min="5" max="5" width="14" customWidth="1"/>
    <col min="6" max="6" width="11" customWidth="1"/>
    <col min="7" max="7" width="14" customWidth="1"/>
    <col min="8" max="8" width="12" customWidth="1"/>
    <col min="9" max="9" width="8" customWidth="1"/>
    <col min="10" max="10" width="40" customWidth="1"/>
  </cols>
  <sheetData>
    <row r="1" spans="1:10" x14ac:dyDescent="0.25">
      <c r="A1" s="16" t="s">
        <v>53</v>
      </c>
    </row>
    <row r="2" spans="1:10" ht="26.1" customHeight="1" x14ac:dyDescent="0.25">
      <c r="A2" s="1" t="s">
        <v>151</v>
      </c>
    </row>
    <row r="3" spans="1:10" ht="30" x14ac:dyDescent="0.25">
      <c r="A3" s="2" t="s">
        <v>152</v>
      </c>
    </row>
    <row r="5" spans="1:10" ht="32.1" customHeight="1" x14ac:dyDescent="0.25">
      <c r="A5" s="29" t="s">
        <v>153</v>
      </c>
      <c r="B5" s="29" t="s">
        <v>82</v>
      </c>
      <c r="C5" s="29" t="s">
        <v>143</v>
      </c>
      <c r="D5" s="29" t="s">
        <v>144</v>
      </c>
      <c r="E5" s="29" t="s">
        <v>61</v>
      </c>
      <c r="F5" s="29" t="s">
        <v>145</v>
      </c>
      <c r="G5" s="29" t="s">
        <v>146</v>
      </c>
      <c r="H5" s="29" t="s">
        <v>147</v>
      </c>
      <c r="I5" s="29" t="s">
        <v>84</v>
      </c>
      <c r="J5" s="29" t="s">
        <v>154</v>
      </c>
    </row>
    <row r="6" spans="1:10" ht="21" customHeight="1" x14ac:dyDescent="0.25">
      <c r="A6" s="31" t="s">
        <v>155</v>
      </c>
      <c r="B6" s="33">
        <v>22</v>
      </c>
      <c r="C6" s="33">
        <v>5500</v>
      </c>
      <c r="D6" s="33">
        <v>1320</v>
      </c>
      <c r="E6" s="33">
        <v>6820</v>
      </c>
      <c r="F6" s="45">
        <v>0.88</v>
      </c>
      <c r="G6" s="46">
        <v>0.04</v>
      </c>
      <c r="H6" s="47">
        <v>0.26190476190476192</v>
      </c>
      <c r="I6" s="33">
        <v>0</v>
      </c>
      <c r="J6" s="32"/>
    </row>
    <row r="7" spans="1:10" ht="21" customHeight="1" x14ac:dyDescent="0.25">
      <c r="A7" s="41" t="s">
        <v>156</v>
      </c>
      <c r="B7" s="43">
        <v>20</v>
      </c>
      <c r="C7" s="43">
        <v>5000</v>
      </c>
      <c r="D7" s="43">
        <v>1200</v>
      </c>
      <c r="E7" s="43">
        <v>6200</v>
      </c>
      <c r="F7" s="48">
        <v>0.8</v>
      </c>
      <c r="G7" s="49">
        <v>0.04</v>
      </c>
      <c r="H7" s="50">
        <v>0.23809523809523811</v>
      </c>
      <c r="I7" s="43">
        <v>0</v>
      </c>
      <c r="J7" s="42"/>
    </row>
    <row r="8" spans="1:10" ht="21" customHeight="1" x14ac:dyDescent="0.25">
      <c r="A8" s="31" t="s">
        <v>157</v>
      </c>
      <c r="B8" s="33">
        <v>18</v>
      </c>
      <c r="C8" s="33">
        <v>4500</v>
      </c>
      <c r="D8" s="33">
        <v>1080</v>
      </c>
      <c r="E8" s="33">
        <v>5580</v>
      </c>
      <c r="F8" s="45">
        <v>0.72</v>
      </c>
      <c r="G8" s="46">
        <v>0.04</v>
      </c>
      <c r="H8" s="47">
        <v>0.2142857142857143</v>
      </c>
      <c r="I8" s="33">
        <v>0</v>
      </c>
      <c r="J8" s="32"/>
    </row>
    <row r="9" spans="1:10" ht="21" customHeight="1" x14ac:dyDescent="0.25">
      <c r="A9" s="60" t="s">
        <v>158</v>
      </c>
      <c r="B9" s="61">
        <v>18</v>
      </c>
      <c r="C9" s="61">
        <v>3500</v>
      </c>
      <c r="D9" s="61">
        <v>840</v>
      </c>
      <c r="E9" s="61">
        <v>4340</v>
      </c>
      <c r="F9" s="62">
        <v>0.56000000000000005</v>
      </c>
      <c r="G9" s="63">
        <v>3.111111111111111E-2</v>
      </c>
      <c r="H9" s="64">
        <v>0.16666666666666671</v>
      </c>
      <c r="I9" s="61">
        <v>2</v>
      </c>
      <c r="J9" s="65" t="s">
        <v>159</v>
      </c>
    </row>
    <row r="10" spans="1:10" ht="21" customHeight="1" x14ac:dyDescent="0.25">
      <c r="A10" s="31" t="s">
        <v>160</v>
      </c>
      <c r="B10" s="33">
        <v>8</v>
      </c>
      <c r="C10" s="33">
        <v>2000</v>
      </c>
      <c r="D10" s="33">
        <v>480</v>
      </c>
      <c r="E10" s="33">
        <v>2480</v>
      </c>
      <c r="F10" s="45">
        <v>0.32</v>
      </c>
      <c r="G10" s="46">
        <v>0.04</v>
      </c>
      <c r="H10" s="47">
        <v>9.5238095238095247E-2</v>
      </c>
      <c r="I10" s="33">
        <v>0</v>
      </c>
      <c r="J10" s="32"/>
    </row>
    <row r="11" spans="1:10" ht="21" customHeight="1" x14ac:dyDescent="0.25">
      <c r="A11" s="41" t="s">
        <v>161</v>
      </c>
      <c r="B11" s="43">
        <v>2</v>
      </c>
      <c r="C11" s="43">
        <v>500</v>
      </c>
      <c r="D11" s="43">
        <v>120</v>
      </c>
      <c r="E11" s="43">
        <v>620</v>
      </c>
      <c r="F11" s="48">
        <v>0.08</v>
      </c>
      <c r="G11" s="49">
        <v>0.04</v>
      </c>
      <c r="H11" s="50">
        <v>2.3809523809523812E-2</v>
      </c>
      <c r="I11" s="43">
        <v>0</v>
      </c>
      <c r="J11" s="42"/>
    </row>
    <row r="12" spans="1:10" x14ac:dyDescent="0.25">
      <c r="A12" s="55" t="s">
        <v>149</v>
      </c>
      <c r="B12" s="56">
        <v>88</v>
      </c>
      <c r="C12" s="56">
        <v>21000</v>
      </c>
      <c r="D12" s="56">
        <v>5040</v>
      </c>
      <c r="E12" s="56">
        <v>26040</v>
      </c>
      <c r="F12" s="57">
        <v>3.36</v>
      </c>
      <c r="G12" s="58">
        <v>3.8181818181818178E-2</v>
      </c>
      <c r="H12" s="59">
        <v>1</v>
      </c>
      <c r="I12" s="56">
        <v>2</v>
      </c>
      <c r="J12" s="54"/>
    </row>
    <row r="14" spans="1:10" ht="30" customHeight="1" x14ac:dyDescent="0.25">
      <c r="A14" s="125" t="s">
        <v>162</v>
      </c>
      <c r="B14" s="122"/>
      <c r="C14" s="122"/>
      <c r="D14" s="122"/>
      <c r="E14" s="122"/>
      <c r="F14" s="122"/>
      <c r="G14" s="122"/>
    </row>
  </sheetData>
  <mergeCells count="1">
    <mergeCell ref="A14:G14"/>
  </mergeCells>
  <conditionalFormatting sqref="F6:F11">
    <cfRule type="dataBar" priority="1">
      <dataBar>
        <cfvo type="num" val="0"/>
        <cfvo type="max"/>
        <color rgb="FF0B5E52"/>
      </dataBar>
    </cfRule>
  </conditionalFormatting>
  <hyperlinks>
    <hyperlink ref="A1" location="'Contents'!A1" display="‹ Contents" xr:uid="{00000000-0004-0000-0400-000000000000}"/>
  </hyperlink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B5E52"/>
    <pageSetUpPr fitToPage="1"/>
  </sheetPr>
  <dimension ref="A1:E23"/>
  <sheetViews>
    <sheetView showGridLines="0" workbookViewId="0">
      <pane ySplit="5" topLeftCell="A6" activePane="bottomLeft" state="frozen"/>
      <selection pane="bottomLeft" activeCell="A4" sqref="A4:XFD4"/>
    </sheetView>
  </sheetViews>
  <sheetFormatPr defaultRowHeight="15" x14ac:dyDescent="0.25"/>
  <cols>
    <col min="1" max="1" width="30" customWidth="1"/>
    <col min="2" max="2" width="14" customWidth="1"/>
    <col min="3" max="3" width="12" customWidth="1"/>
    <col min="4" max="4" width="13" customWidth="1"/>
    <col min="5" max="5" width="46" customWidth="1"/>
  </cols>
  <sheetData>
    <row r="1" spans="1:5" x14ac:dyDescent="0.25">
      <c r="A1" s="16" t="s">
        <v>53</v>
      </c>
    </row>
    <row r="2" spans="1:5" ht="26.1" customHeight="1" x14ac:dyDescent="0.25">
      <c r="A2" s="1" t="s">
        <v>13</v>
      </c>
    </row>
    <row r="5" spans="1:5" ht="32.1" customHeight="1" x14ac:dyDescent="0.25">
      <c r="A5" s="29" t="s">
        <v>163</v>
      </c>
      <c r="B5" s="29" t="s">
        <v>164</v>
      </c>
      <c r="C5" s="29" t="s">
        <v>165</v>
      </c>
      <c r="D5" s="29" t="s">
        <v>166</v>
      </c>
      <c r="E5" s="29" t="s">
        <v>154</v>
      </c>
    </row>
    <row r="6" spans="1:5" ht="21" customHeight="1" x14ac:dyDescent="0.25">
      <c r="A6" s="31" t="s">
        <v>167</v>
      </c>
      <c r="B6" s="33">
        <v>796</v>
      </c>
      <c r="C6" s="33">
        <v>1</v>
      </c>
      <c r="D6" s="47">
        <v>1.2562814070351759E-3</v>
      </c>
      <c r="E6" s="32" t="s">
        <v>168</v>
      </c>
    </row>
    <row r="7" spans="1:5" ht="21" customHeight="1" x14ac:dyDescent="0.25">
      <c r="A7" s="36" t="s">
        <v>169</v>
      </c>
      <c r="B7" s="38">
        <v>254</v>
      </c>
      <c r="C7" s="38">
        <v>0</v>
      </c>
      <c r="D7" s="53">
        <v>0</v>
      </c>
      <c r="E7" s="37" t="s">
        <v>170</v>
      </c>
    </row>
    <row r="8" spans="1:5" ht="21" customHeight="1" x14ac:dyDescent="0.25">
      <c r="A8" s="36" t="s">
        <v>171</v>
      </c>
      <c r="B8" s="38">
        <v>76</v>
      </c>
      <c r="C8" s="38">
        <v>0</v>
      </c>
      <c r="D8" s="53">
        <v>0</v>
      </c>
      <c r="E8" s="37" t="s">
        <v>170</v>
      </c>
    </row>
    <row r="9" spans="1:5" ht="21" customHeight="1" x14ac:dyDescent="0.25">
      <c r="A9" s="36" t="s">
        <v>172</v>
      </c>
      <c r="B9" s="38">
        <v>65</v>
      </c>
      <c r="C9" s="38">
        <v>0</v>
      </c>
      <c r="D9" s="53">
        <v>0</v>
      </c>
      <c r="E9" s="37" t="s">
        <v>170</v>
      </c>
    </row>
    <row r="10" spans="1:5" ht="21" customHeight="1" x14ac:dyDescent="0.25">
      <c r="A10" s="36" t="s">
        <v>173</v>
      </c>
      <c r="B10" s="38">
        <v>63</v>
      </c>
      <c r="C10" s="38">
        <v>0</v>
      </c>
      <c r="D10" s="53">
        <v>0</v>
      </c>
      <c r="E10" s="37" t="s">
        <v>170</v>
      </c>
    </row>
    <row r="11" spans="1:5" ht="21" customHeight="1" x14ac:dyDescent="0.25">
      <c r="A11" s="36" t="s">
        <v>174</v>
      </c>
      <c r="B11" s="38">
        <v>44</v>
      </c>
      <c r="C11" s="38">
        <v>0</v>
      </c>
      <c r="D11" s="53">
        <v>0</v>
      </c>
      <c r="E11" s="37" t="s">
        <v>170</v>
      </c>
    </row>
    <row r="12" spans="1:5" ht="21" customHeight="1" x14ac:dyDescent="0.25">
      <c r="A12" s="31" t="s">
        <v>128</v>
      </c>
      <c r="B12" s="33">
        <v>18</v>
      </c>
      <c r="C12" s="33">
        <v>1</v>
      </c>
      <c r="D12" s="47">
        <v>5.5555555555555552E-2</v>
      </c>
      <c r="E12" s="32"/>
    </row>
    <row r="13" spans="1:5" ht="21" customHeight="1" x14ac:dyDescent="0.25">
      <c r="A13" s="36" t="s">
        <v>175</v>
      </c>
      <c r="B13" s="38">
        <v>12</v>
      </c>
      <c r="C13" s="38">
        <v>0</v>
      </c>
      <c r="D13" s="53">
        <v>0</v>
      </c>
      <c r="E13" s="37" t="s">
        <v>170</v>
      </c>
    </row>
    <row r="14" spans="1:5" ht="21" customHeight="1" x14ac:dyDescent="0.25">
      <c r="A14" s="36" t="s">
        <v>176</v>
      </c>
      <c r="B14" s="38">
        <v>11</v>
      </c>
      <c r="C14" s="38">
        <v>0</v>
      </c>
      <c r="D14" s="53">
        <v>0</v>
      </c>
      <c r="E14" s="37" t="s">
        <v>170</v>
      </c>
    </row>
    <row r="15" spans="1:5" ht="21" customHeight="1" x14ac:dyDescent="0.25">
      <c r="A15" s="36" t="s">
        <v>177</v>
      </c>
      <c r="B15" s="38">
        <v>10</v>
      </c>
      <c r="C15" s="38">
        <v>0</v>
      </c>
      <c r="D15" s="53">
        <v>0</v>
      </c>
      <c r="E15" s="37" t="s">
        <v>170</v>
      </c>
    </row>
    <row r="16" spans="1:5" ht="21" customHeight="1" x14ac:dyDescent="0.25">
      <c r="A16" s="31" t="s">
        <v>178</v>
      </c>
      <c r="B16" s="33">
        <v>6</v>
      </c>
      <c r="C16" s="33">
        <v>3</v>
      </c>
      <c r="D16" s="47">
        <v>0.5</v>
      </c>
      <c r="E16" s="32" t="s">
        <v>179</v>
      </c>
    </row>
    <row r="17" spans="1:5" ht="21" customHeight="1" x14ac:dyDescent="0.25">
      <c r="A17" s="31" t="s">
        <v>180</v>
      </c>
      <c r="B17" s="33">
        <v>6</v>
      </c>
      <c r="C17" s="33">
        <v>3</v>
      </c>
      <c r="D17" s="47">
        <v>0.5</v>
      </c>
      <c r="E17" s="32" t="s">
        <v>179</v>
      </c>
    </row>
    <row r="18" spans="1:5" ht="21" customHeight="1" x14ac:dyDescent="0.25">
      <c r="A18" s="36" t="s">
        <v>181</v>
      </c>
      <c r="B18" s="38">
        <v>3</v>
      </c>
      <c r="C18" s="38">
        <v>0</v>
      </c>
      <c r="D18" s="53">
        <v>0</v>
      </c>
      <c r="E18" s="37" t="s">
        <v>170</v>
      </c>
    </row>
    <row r="19" spans="1:5" ht="21" customHeight="1" x14ac:dyDescent="0.25">
      <c r="A19" s="36" t="s">
        <v>182</v>
      </c>
      <c r="B19" s="38">
        <v>3</v>
      </c>
      <c r="C19" s="38">
        <v>0</v>
      </c>
      <c r="D19" s="53">
        <v>0</v>
      </c>
      <c r="E19" s="37" t="s">
        <v>170</v>
      </c>
    </row>
    <row r="20" spans="1:5" x14ac:dyDescent="0.25">
      <c r="A20" s="55" t="s">
        <v>149</v>
      </c>
      <c r="B20" s="56">
        <v>1367</v>
      </c>
      <c r="C20" s="56">
        <v>8</v>
      </c>
      <c r="D20" s="66">
        <v>5.8522311631309439E-3</v>
      </c>
      <c r="E20" s="54"/>
    </row>
    <row r="22" spans="1:5" ht="34.5" x14ac:dyDescent="0.25">
      <c r="A22" s="9" t="s">
        <v>183</v>
      </c>
    </row>
    <row r="23" spans="1:5" ht="44.1" customHeight="1" x14ac:dyDescent="0.25">
      <c r="A23" s="121" t="s">
        <v>184</v>
      </c>
      <c r="B23" s="122"/>
      <c r="C23" s="122"/>
      <c r="D23" s="122"/>
      <c r="E23" s="122"/>
    </row>
  </sheetData>
  <mergeCells count="1">
    <mergeCell ref="A23:E23"/>
  </mergeCells>
  <conditionalFormatting sqref="B6:B19">
    <cfRule type="dataBar" priority="1">
      <dataBar>
        <cfvo type="num" val="0"/>
        <cfvo type="max"/>
        <color rgb="FFA32A20"/>
      </dataBar>
    </cfRule>
  </conditionalFormatting>
  <hyperlinks>
    <hyperlink ref="A1" location="'Contents'!A1" display="‹ Contents" xr:uid="{00000000-0004-0000-0500-000000000000}"/>
  </hyperlink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B5E52"/>
    <pageSetUpPr fitToPage="1"/>
  </sheetPr>
  <dimension ref="A1:E16"/>
  <sheetViews>
    <sheetView showGridLines="0" workbookViewId="0"/>
  </sheetViews>
  <sheetFormatPr defaultRowHeight="15" x14ac:dyDescent="0.25"/>
  <cols>
    <col min="1" max="1" width="36" customWidth="1"/>
    <col min="2" max="2" width="16" customWidth="1"/>
    <col min="3" max="3" width="8" customWidth="1"/>
    <col min="4" max="4" width="16" customWidth="1"/>
    <col min="5" max="5" width="52" customWidth="1"/>
  </cols>
  <sheetData>
    <row r="1" spans="1:5" x14ac:dyDescent="0.25">
      <c r="A1" s="16" t="s">
        <v>53</v>
      </c>
    </row>
    <row r="2" spans="1:5" ht="26.1" customHeight="1" x14ac:dyDescent="0.25">
      <c r="A2" s="1" t="s">
        <v>185</v>
      </c>
    </row>
    <row r="3" spans="1:5" ht="30" x14ac:dyDescent="0.25">
      <c r="A3" s="2" t="s">
        <v>186</v>
      </c>
    </row>
    <row r="5" spans="1:5" ht="17.25" x14ac:dyDescent="0.25">
      <c r="A5" s="9" t="s">
        <v>187</v>
      </c>
    </row>
    <row r="6" spans="1:5" ht="21.95" customHeight="1" x14ac:dyDescent="0.25">
      <c r="A6" s="67" t="s">
        <v>188</v>
      </c>
      <c r="B6" s="68">
        <v>0.55999999999999994</v>
      </c>
    </row>
    <row r="7" spans="1:5" ht="21.95" customHeight="1" x14ac:dyDescent="0.25">
      <c r="A7" s="67" t="s">
        <v>189</v>
      </c>
      <c r="B7" s="69">
        <v>40</v>
      </c>
    </row>
    <row r="8" spans="1:5" ht="21.95" customHeight="1" x14ac:dyDescent="0.25">
      <c r="A8" s="67" t="s">
        <v>190</v>
      </c>
      <c r="B8" s="69">
        <v>10</v>
      </c>
      <c r="C8" s="11" t="s">
        <v>191</v>
      </c>
    </row>
    <row r="10" spans="1:5" ht="17.25" x14ac:dyDescent="0.25">
      <c r="A10" s="9" t="s">
        <v>192</v>
      </c>
    </row>
    <row r="11" spans="1:5" ht="32.1" customHeight="1" x14ac:dyDescent="0.25">
      <c r="A11" s="29" t="s">
        <v>193</v>
      </c>
      <c r="B11" s="29" t="s">
        <v>194</v>
      </c>
      <c r="C11" s="29"/>
      <c r="D11" s="29" t="s">
        <v>195</v>
      </c>
      <c r="E11" s="29" t="s">
        <v>196</v>
      </c>
    </row>
    <row r="12" spans="1:5" ht="32.1" customHeight="1" x14ac:dyDescent="0.25">
      <c r="A12" s="70" t="s">
        <v>197</v>
      </c>
      <c r="B12" s="45">
        <f>B6</f>
        <v>0.55999999999999994</v>
      </c>
      <c r="C12" s="71"/>
      <c r="D12" s="45">
        <f>B6*B7</f>
        <v>22.4</v>
      </c>
      <c r="E12" s="20" t="s">
        <v>198</v>
      </c>
    </row>
    <row r="13" spans="1:5" ht="32.1" customHeight="1" x14ac:dyDescent="0.25">
      <c r="A13" s="70" t="s">
        <v>199</v>
      </c>
      <c r="B13" s="45">
        <f>B6*B8</f>
        <v>5.6</v>
      </c>
      <c r="C13" s="71"/>
      <c r="D13" s="45">
        <f>B6*B8*B7</f>
        <v>224</v>
      </c>
      <c r="E13" s="20" t="s">
        <v>200</v>
      </c>
    </row>
    <row r="14" spans="1:5" ht="32.1" customHeight="1" x14ac:dyDescent="0.25">
      <c r="A14" s="70" t="s">
        <v>201</v>
      </c>
      <c r="B14" s="45">
        <f>B6*B8*2</f>
        <v>11.2</v>
      </c>
      <c r="C14" s="71"/>
      <c r="D14" s="45">
        <f>B6*B8*2*B7</f>
        <v>448</v>
      </c>
      <c r="E14" s="20" t="s">
        <v>202</v>
      </c>
    </row>
    <row r="16" spans="1:5" ht="32.1" customHeight="1" x14ac:dyDescent="0.25">
      <c r="A16" s="125" t="s">
        <v>203</v>
      </c>
      <c r="B16" s="122"/>
      <c r="C16" s="122"/>
      <c r="D16" s="122"/>
      <c r="E16" s="122"/>
    </row>
  </sheetData>
  <mergeCells count="1">
    <mergeCell ref="A16:E16"/>
  </mergeCells>
  <hyperlinks>
    <hyperlink ref="A1" location="'Contents'!A1" display="‹ Contents" xr:uid="{00000000-0004-0000-0600-000000000000}"/>
  </hyperlink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B5E52"/>
    <pageSetUpPr fitToPage="1"/>
  </sheetPr>
  <dimension ref="A1:H10"/>
  <sheetViews>
    <sheetView showGridLines="0" topLeftCell="B1" workbookViewId="0">
      <pane ySplit="3" topLeftCell="A4" activePane="bottomLeft" state="frozen"/>
      <selection pane="bottomLeft" activeCell="A2" sqref="A2:XFD2"/>
    </sheetView>
  </sheetViews>
  <sheetFormatPr defaultRowHeight="15" x14ac:dyDescent="0.25"/>
  <cols>
    <col min="1" max="1" width="5" customWidth="1"/>
    <col min="2" max="2" width="40" customWidth="1"/>
    <col min="3" max="3" width="60" customWidth="1"/>
    <col min="4" max="4" width="11" customWidth="1"/>
    <col min="5" max="5" width="48" customWidth="1"/>
    <col min="6" max="6" width="16" customWidth="1"/>
    <col min="7" max="7" width="14" customWidth="1"/>
    <col min="8" max="8" width="20" customWidth="1"/>
  </cols>
  <sheetData>
    <row r="1" spans="1:8" x14ac:dyDescent="0.25">
      <c r="A1" s="16" t="s">
        <v>53</v>
      </c>
    </row>
    <row r="3" spans="1:8" ht="32.1" customHeight="1" x14ac:dyDescent="0.25">
      <c r="A3" s="29" t="s">
        <v>79</v>
      </c>
      <c r="B3" s="29" t="s">
        <v>204</v>
      </c>
      <c r="C3" s="29" t="s">
        <v>205</v>
      </c>
      <c r="D3" s="29" t="s">
        <v>206</v>
      </c>
      <c r="E3" s="29" t="s">
        <v>207</v>
      </c>
      <c r="F3" s="29" t="s">
        <v>208</v>
      </c>
      <c r="G3" s="29" t="s">
        <v>209</v>
      </c>
      <c r="H3" s="29" t="s">
        <v>87</v>
      </c>
    </row>
    <row r="4" spans="1:8" ht="54" customHeight="1" x14ac:dyDescent="0.25">
      <c r="A4" s="72" t="s">
        <v>210</v>
      </c>
      <c r="B4" s="73" t="s">
        <v>211</v>
      </c>
      <c r="C4" s="74" t="s">
        <v>212</v>
      </c>
      <c r="D4" s="75" t="s">
        <v>213</v>
      </c>
      <c r="E4" s="76" t="s">
        <v>214</v>
      </c>
      <c r="F4" s="77"/>
      <c r="G4" s="78"/>
      <c r="H4" s="78" t="s">
        <v>215</v>
      </c>
    </row>
    <row r="5" spans="1:8" ht="54" customHeight="1" x14ac:dyDescent="0.25">
      <c r="A5" s="72" t="s">
        <v>216</v>
      </c>
      <c r="B5" s="73" t="s">
        <v>217</v>
      </c>
      <c r="C5" s="74" t="s">
        <v>218</v>
      </c>
      <c r="D5" s="75" t="s">
        <v>213</v>
      </c>
      <c r="E5" s="76" t="s">
        <v>219</v>
      </c>
      <c r="F5" s="77"/>
      <c r="G5" s="78"/>
      <c r="H5" s="78" t="s">
        <v>215</v>
      </c>
    </row>
    <row r="6" spans="1:8" ht="54" customHeight="1" x14ac:dyDescent="0.25">
      <c r="A6" s="72" t="s">
        <v>220</v>
      </c>
      <c r="B6" s="73" t="s">
        <v>221</v>
      </c>
      <c r="C6" s="74" t="s">
        <v>222</v>
      </c>
      <c r="D6" s="75" t="s">
        <v>213</v>
      </c>
      <c r="E6" s="76" t="s">
        <v>223</v>
      </c>
      <c r="F6" s="77"/>
      <c r="G6" s="78"/>
      <c r="H6" s="78" t="s">
        <v>215</v>
      </c>
    </row>
    <row r="7" spans="1:8" ht="54" customHeight="1" x14ac:dyDescent="0.25">
      <c r="A7" s="72" t="s">
        <v>224</v>
      </c>
      <c r="B7" s="73" t="s">
        <v>225</v>
      </c>
      <c r="C7" s="74" t="s">
        <v>226</v>
      </c>
      <c r="D7" s="75" t="s">
        <v>213</v>
      </c>
      <c r="E7" s="76" t="s">
        <v>227</v>
      </c>
      <c r="F7" s="77"/>
      <c r="G7" s="78"/>
      <c r="H7" s="78" t="s">
        <v>215</v>
      </c>
    </row>
    <row r="8" spans="1:8" ht="54" customHeight="1" x14ac:dyDescent="0.25">
      <c r="A8" s="72" t="s">
        <v>228</v>
      </c>
      <c r="B8" s="73" t="s">
        <v>229</v>
      </c>
      <c r="C8" s="74" t="s">
        <v>230</v>
      </c>
      <c r="D8" s="79" t="s">
        <v>231</v>
      </c>
      <c r="E8" s="76" t="s">
        <v>232</v>
      </c>
      <c r="F8" s="77"/>
      <c r="G8" s="78"/>
      <c r="H8" s="78" t="s">
        <v>215</v>
      </c>
    </row>
    <row r="9" spans="1:8" ht="54" customHeight="1" x14ac:dyDescent="0.25">
      <c r="A9" s="72" t="s">
        <v>233</v>
      </c>
      <c r="B9" s="73" t="s">
        <v>234</v>
      </c>
      <c r="C9" s="74" t="s">
        <v>235</v>
      </c>
      <c r="D9" s="79" t="s">
        <v>231</v>
      </c>
      <c r="E9" s="76" t="s">
        <v>236</v>
      </c>
      <c r="F9" s="77"/>
      <c r="G9" s="78"/>
      <c r="H9" s="78" t="s">
        <v>215</v>
      </c>
    </row>
    <row r="10" spans="1:8" ht="54" customHeight="1" x14ac:dyDescent="0.25">
      <c r="A10" s="72" t="s">
        <v>237</v>
      </c>
      <c r="B10" s="73" t="s">
        <v>238</v>
      </c>
      <c r="C10" s="74" t="s">
        <v>239</v>
      </c>
      <c r="D10" s="80" t="s">
        <v>240</v>
      </c>
      <c r="E10" s="76" t="s">
        <v>241</v>
      </c>
      <c r="F10" s="77"/>
      <c r="G10" s="78"/>
      <c r="H10" s="78" t="s">
        <v>215</v>
      </c>
    </row>
  </sheetData>
  <conditionalFormatting sqref="H4:H10">
    <cfRule type="cellIs" dxfId="20" priority="1" operator="equal">
      <formula>"Pass"</formula>
    </cfRule>
    <cfRule type="cellIs" dxfId="19" priority="2" operator="equal">
      <formula>"Fail"</formula>
    </cfRule>
    <cfRule type="cellIs" dxfId="18" priority="3" operator="equal">
      <formula>"Blocked"</formula>
    </cfRule>
  </conditionalFormatting>
  <dataValidations count="1">
    <dataValidation type="list" allowBlank="1" error="Pick one of: Not started, Pass, Fail, Blocked, N/A" promptTitle="Result" prompt="Not started / Pass / Fail / Blocked / N/A" sqref="H4:H54" xr:uid="{00000000-0002-0000-0700-000000000000}">
      <formula1>"Not started,Pass,Fail,Blocked,N/A"</formula1>
    </dataValidation>
  </dataValidations>
  <hyperlinks>
    <hyperlink ref="A1" location="'Contents'!A1" display="‹ Contents" xr:uid="{00000000-0004-0000-0700-000000000000}"/>
  </hyperlink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A5A12"/>
    <pageSetUpPr fitToPage="1"/>
  </sheetPr>
  <dimension ref="A1:I16"/>
  <sheetViews>
    <sheetView showGridLines="0" workbookViewId="0">
      <selection activeCell="A2" sqref="A2:XFD2"/>
    </sheetView>
  </sheetViews>
  <sheetFormatPr defaultRowHeight="15" x14ac:dyDescent="0.25"/>
  <cols>
    <col min="1" max="1" width="2" customWidth="1"/>
    <col min="2" max="2" width="30" customWidth="1"/>
    <col min="3" max="6" width="12" customWidth="1"/>
    <col min="7" max="7" width="13" customWidth="1"/>
    <col min="8" max="8" width="14" customWidth="1"/>
    <col min="9" max="9" width="40" customWidth="1"/>
  </cols>
  <sheetData>
    <row r="1" spans="1:9" x14ac:dyDescent="0.25">
      <c r="A1" s="16" t="s">
        <v>53</v>
      </c>
    </row>
    <row r="3" spans="1:9" x14ac:dyDescent="0.25">
      <c r="B3" s="17"/>
    </row>
    <row r="4" spans="1:9" ht="32.1" customHeight="1" x14ac:dyDescent="0.25">
      <c r="B4" s="29" t="s">
        <v>242</v>
      </c>
      <c r="C4" s="29" t="s">
        <v>243</v>
      </c>
      <c r="D4" s="29" t="s">
        <v>244</v>
      </c>
      <c r="E4" s="29" t="s">
        <v>245</v>
      </c>
      <c r="F4" s="29" t="s">
        <v>83</v>
      </c>
      <c r="G4" s="29" t="s">
        <v>215</v>
      </c>
      <c r="H4" s="29" t="s">
        <v>246</v>
      </c>
      <c r="I4" s="29" t="s">
        <v>154</v>
      </c>
    </row>
    <row r="5" spans="1:9" ht="24" customHeight="1" x14ac:dyDescent="0.25">
      <c r="B5" s="31" t="s">
        <v>24</v>
      </c>
      <c r="C5" s="81">
        <f>COUNTIF('Test · Functional'!$G$4:$G$198,"Pass")+COUNTIF('Test · Functional'!$G$4:$G$198,"Fail")+COUNTIF('Test · Functional'!$G$4:$G$198,"Blocked")+COUNTIF('Test · Functional'!$G$4:$G$198,"Not started")+COUNTIF('Test · Functional'!$G$4:$G$198,"N/A")</f>
        <v>40</v>
      </c>
      <c r="D5" s="81">
        <f>COUNTIF('Test · Functional'!$G$4:$G$198,"Pass")</f>
        <v>0</v>
      </c>
      <c r="E5" s="81">
        <f>COUNTIF('Test · Functional'!$G$4:$G$198,"Fail")</f>
        <v>0</v>
      </c>
      <c r="F5" s="81">
        <f>COUNTIF('Test · Functional'!$G$4:$G$198,"Blocked")</f>
        <v>0</v>
      </c>
      <c r="G5" s="81">
        <f>COUNTIF('Test · Functional'!$G$4:$G$198,"Not started")</f>
        <v>40</v>
      </c>
      <c r="H5" s="82">
        <f t="shared" ref="H5:H10" si="0">IF(C5=0,0,(D5+E5)/C5)</f>
        <v>0</v>
      </c>
      <c r="I5" s="83"/>
    </row>
    <row r="6" spans="1:9" ht="24" customHeight="1" x14ac:dyDescent="0.25">
      <c r="B6" s="31" t="s">
        <v>26</v>
      </c>
      <c r="C6" s="81">
        <f>COUNTIF('Test · Documents'!$L$4:$L$198,"Pass")+COUNTIF('Test · Documents'!$L$4:$L$198,"Fail")+COUNTIF('Test · Documents'!$L$4:$L$198,"Blocked")+COUNTIF('Test · Documents'!$L$4:$L$198,"Not started")+COUNTIF('Test · Documents'!$L$4:$L$198,"N/A")</f>
        <v>15</v>
      </c>
      <c r="D6" s="81">
        <f>COUNTIF('Test · Documents'!$L$4:$L$198,"Pass")</f>
        <v>0</v>
      </c>
      <c r="E6" s="81">
        <f>COUNTIF('Test · Documents'!$L$4:$L$198,"Fail")</f>
        <v>0</v>
      </c>
      <c r="F6" s="81">
        <f>COUNTIF('Test · Documents'!$L$4:$L$198,"Blocked")</f>
        <v>0</v>
      </c>
      <c r="G6" s="81">
        <f>COUNTIF('Test · Documents'!$L$4:$L$198,"Not started")</f>
        <v>15</v>
      </c>
      <c r="H6" s="82">
        <f t="shared" si="0"/>
        <v>0</v>
      </c>
      <c r="I6" s="83"/>
    </row>
    <row r="7" spans="1:9" ht="24" customHeight="1" x14ac:dyDescent="0.25">
      <c r="B7" s="31" t="s">
        <v>28</v>
      </c>
      <c r="C7" s="81">
        <f>COUNTIF('Test · Drawings'!$M$4:$M$198,"Pass")+COUNTIF('Test · Drawings'!$M$4:$M$198,"Fail")+COUNTIF('Test · Drawings'!$M$4:$M$198,"Blocked")+COUNTIF('Test · Drawings'!$M$4:$M$198,"Not started")+COUNTIF('Test · Drawings'!$M$4:$M$198,"N/A")</f>
        <v>12</v>
      </c>
      <c r="D7" s="81">
        <f>COUNTIF('Test · Drawings'!$M$4:$M$198,"Pass")</f>
        <v>0</v>
      </c>
      <c r="E7" s="81">
        <f>COUNTIF('Test · Drawings'!$M$4:$M$198,"Fail")</f>
        <v>0</v>
      </c>
      <c r="F7" s="81">
        <f>COUNTIF('Test · Drawings'!$M$4:$M$198,"Blocked")</f>
        <v>0</v>
      </c>
      <c r="G7" s="81">
        <f>COUNTIF('Test · Drawings'!$M$4:$M$198,"Not started")</f>
        <v>12</v>
      </c>
      <c r="H7" s="82">
        <f t="shared" si="0"/>
        <v>0</v>
      </c>
      <c r="I7" s="83"/>
    </row>
    <row r="8" spans="1:9" ht="24" customHeight="1" x14ac:dyDescent="0.25">
      <c r="B8" s="31" t="s">
        <v>30</v>
      </c>
      <c r="C8" s="81">
        <f>COUNTIF('Test · Tokens'!$I$4:$I$198,"Pass")+COUNTIF('Test · Tokens'!$I$4:$I$198,"Fail")+COUNTIF('Test · Tokens'!$I$4:$I$198,"Blocked")+COUNTIF('Test · Tokens'!$I$4:$I$198,"Not started")+COUNTIF('Test · Tokens'!$I$4:$I$198,"N/A")</f>
        <v>17</v>
      </c>
      <c r="D8" s="81">
        <f>COUNTIF('Test · Tokens'!$I$4:$I$198,"Pass")</f>
        <v>0</v>
      </c>
      <c r="E8" s="81">
        <f>COUNTIF('Test · Tokens'!$I$4:$I$198,"Fail")</f>
        <v>0</v>
      </c>
      <c r="F8" s="81">
        <f>COUNTIF('Test · Tokens'!$I$4:$I$198,"Blocked")</f>
        <v>0</v>
      </c>
      <c r="G8" s="81">
        <f>COUNTIF('Test · Tokens'!$I$4:$I$198,"Not started")</f>
        <v>17</v>
      </c>
      <c r="H8" s="82">
        <f t="shared" si="0"/>
        <v>0</v>
      </c>
      <c r="I8" s="83"/>
    </row>
    <row r="9" spans="1:9" ht="24" customHeight="1" x14ac:dyDescent="0.25">
      <c r="B9" s="31" t="s">
        <v>32</v>
      </c>
      <c r="C9" s="81">
        <f>COUNTIF('Test · Accuracy'!$M$4:$M$198,"Pass")+COUNTIF('Test · Accuracy'!$M$4:$M$198,"Fail")+COUNTIF('Test · Accuracy'!$M$4:$M$198,"Blocked")+COUNTIF('Test · Accuracy'!$M$4:$M$198,"Not started")+COUNTIF('Test · Accuracy'!$M$4:$M$198,"N/A")</f>
        <v>10</v>
      </c>
      <c r="D9" s="81">
        <f>COUNTIF('Test · Accuracy'!$M$4:$M$198,"Pass")</f>
        <v>0</v>
      </c>
      <c r="E9" s="81">
        <f>COUNTIF('Test · Accuracy'!$M$4:$M$198,"Fail")</f>
        <v>0</v>
      </c>
      <c r="F9" s="81">
        <f>COUNTIF('Test · Accuracy'!$M$4:$M$198,"Blocked")</f>
        <v>0</v>
      </c>
      <c r="G9" s="81">
        <f>COUNTIF('Test · Accuracy'!$M$4:$M$198,"Not started")</f>
        <v>10</v>
      </c>
      <c r="H9" s="82">
        <f t="shared" si="0"/>
        <v>0</v>
      </c>
      <c r="I9" s="83"/>
    </row>
    <row r="10" spans="1:9" x14ac:dyDescent="0.25">
      <c r="B10" s="84" t="s">
        <v>149</v>
      </c>
      <c r="C10" s="54">
        <f>SUM(C5:C9)</f>
        <v>94</v>
      </c>
      <c r="D10" s="54">
        <f>SUM(D5:D9)</f>
        <v>0</v>
      </c>
      <c r="E10" s="54">
        <f>SUM(E5:E9)</f>
        <v>0</v>
      </c>
      <c r="F10" s="54">
        <f>SUM(F5:F9)</f>
        <v>0</v>
      </c>
      <c r="G10" s="54">
        <f>SUM(G5:G9)</f>
        <v>94</v>
      </c>
      <c r="H10" s="85">
        <f t="shared" si="0"/>
        <v>0</v>
      </c>
      <c r="I10" s="86"/>
    </row>
    <row r="12" spans="1:9" ht="17.25" x14ac:dyDescent="0.25">
      <c r="B12" s="9" t="s">
        <v>247</v>
      </c>
    </row>
    <row r="13" spans="1:9" ht="32.1" customHeight="1" x14ac:dyDescent="0.25">
      <c r="B13" s="29" t="s">
        <v>248</v>
      </c>
      <c r="C13" s="29" t="s">
        <v>249</v>
      </c>
      <c r="D13" s="29" t="s">
        <v>250</v>
      </c>
      <c r="E13" s="29" t="s">
        <v>251</v>
      </c>
    </row>
    <row r="14" spans="1:9" ht="24" customHeight="1" x14ac:dyDescent="0.25">
      <c r="B14" s="87" t="s">
        <v>252</v>
      </c>
      <c r="C14" s="88"/>
      <c r="D14" s="88"/>
      <c r="E14" s="88"/>
    </row>
    <row r="15" spans="1:9" ht="24" customHeight="1" x14ac:dyDescent="0.25">
      <c r="B15" s="87" t="s">
        <v>253</v>
      </c>
      <c r="C15" s="88"/>
      <c r="D15" s="88"/>
      <c r="E15" s="88"/>
    </row>
    <row r="16" spans="1:9" ht="24" customHeight="1" x14ac:dyDescent="0.25">
      <c r="B16" s="87" t="s">
        <v>254</v>
      </c>
      <c r="C16" s="88"/>
      <c r="D16" s="88"/>
      <c r="E16" s="88"/>
    </row>
  </sheetData>
  <conditionalFormatting sqref="D5:F10">
    <cfRule type="cellIs" dxfId="17" priority="1" operator="equal">
      <formula>"Pass"</formula>
    </cfRule>
    <cfRule type="cellIs" dxfId="16" priority="2" operator="equal">
      <formula>"Fail"</formula>
    </cfRule>
    <cfRule type="cellIs" dxfId="15" priority="3" operator="equal">
      <formula>"Blocked"</formula>
    </cfRule>
  </conditionalFormatting>
  <hyperlinks>
    <hyperlink ref="A1" location="'Contents'!A1" display="‹ Contents" xr:uid="{00000000-0004-0000-0800-000000000000}"/>
  </hyperlink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A5A12"/>
    <pageSetUpPr fitToPage="1"/>
  </sheetPr>
  <dimension ref="A1:K43"/>
  <sheetViews>
    <sheetView showGridLines="0" workbookViewId="0">
      <pane ySplit="3" topLeftCell="A33" activePane="bottomLeft" state="frozen"/>
      <selection pane="bottomLeft" activeCell="A2" sqref="A2:XFD2"/>
    </sheetView>
  </sheetViews>
  <sheetFormatPr defaultRowHeight="15" x14ac:dyDescent="0.25"/>
  <cols>
    <col min="1" max="1" width="8" customWidth="1"/>
    <col min="2" max="2" width="16" customWidth="1"/>
    <col min="3" max="3" width="28" customWidth="1"/>
    <col min="4" max="4" width="44" customWidth="1"/>
    <col min="5" max="5" width="42" customWidth="1"/>
    <col min="6" max="6" width="11" customWidth="1"/>
    <col min="7" max="7" width="12" customWidth="1"/>
    <col min="8" max="8" width="32" customWidth="1"/>
    <col min="9" max="9" width="13" customWidth="1"/>
    <col min="10" max="10" width="12" customWidth="1"/>
    <col min="11" max="11" width="24" customWidth="1"/>
  </cols>
  <sheetData>
    <row r="1" spans="1:11" x14ac:dyDescent="0.25">
      <c r="A1" s="16" t="s">
        <v>53</v>
      </c>
    </row>
    <row r="3" spans="1:11" ht="32.1" customHeight="1" x14ac:dyDescent="0.25">
      <c r="A3" s="29" t="s">
        <v>255</v>
      </c>
      <c r="B3" s="29" t="s">
        <v>256</v>
      </c>
      <c r="C3" s="29" t="s">
        <v>257</v>
      </c>
      <c r="D3" s="29" t="s">
        <v>258</v>
      </c>
      <c r="E3" s="29" t="s">
        <v>259</v>
      </c>
      <c r="F3" s="29" t="s">
        <v>206</v>
      </c>
      <c r="G3" s="29" t="s">
        <v>192</v>
      </c>
      <c r="H3" s="29" t="s">
        <v>260</v>
      </c>
      <c r="I3" s="29" t="s">
        <v>261</v>
      </c>
      <c r="J3" s="29" t="s">
        <v>250</v>
      </c>
      <c r="K3" s="29" t="s">
        <v>262</v>
      </c>
    </row>
    <row r="4" spans="1:11" ht="27.95" customHeight="1" x14ac:dyDescent="0.25">
      <c r="A4" s="89" t="s">
        <v>263</v>
      </c>
      <c r="B4" s="90" t="s">
        <v>264</v>
      </c>
      <c r="C4" s="76" t="s">
        <v>265</v>
      </c>
      <c r="D4" s="76" t="s">
        <v>266</v>
      </c>
      <c r="E4" s="74" t="s">
        <v>267</v>
      </c>
      <c r="F4" s="75" t="s">
        <v>213</v>
      </c>
      <c r="G4" s="78" t="s">
        <v>215</v>
      </c>
      <c r="H4" s="91"/>
      <c r="I4" s="77"/>
      <c r="J4" s="78"/>
      <c r="K4" s="91"/>
    </row>
    <row r="5" spans="1:11" ht="27.95" customHeight="1" x14ac:dyDescent="0.25">
      <c r="A5" s="92" t="s">
        <v>268</v>
      </c>
      <c r="B5" s="93" t="s">
        <v>264</v>
      </c>
      <c r="C5" s="94" t="s">
        <v>269</v>
      </c>
      <c r="D5" s="94" t="s">
        <v>270</v>
      </c>
      <c r="E5" s="95" t="s">
        <v>271</v>
      </c>
      <c r="F5" s="96" t="s">
        <v>213</v>
      </c>
      <c r="G5" s="78" t="s">
        <v>215</v>
      </c>
      <c r="H5" s="91"/>
      <c r="I5" s="77"/>
      <c r="J5" s="78"/>
      <c r="K5" s="91"/>
    </row>
    <row r="6" spans="1:11" ht="27.95" customHeight="1" x14ac:dyDescent="0.25">
      <c r="A6" s="89" t="s">
        <v>272</v>
      </c>
      <c r="B6" s="90" t="s">
        <v>264</v>
      </c>
      <c r="C6" s="76" t="s">
        <v>273</v>
      </c>
      <c r="D6" s="76" t="s">
        <v>274</v>
      </c>
      <c r="E6" s="74" t="s">
        <v>275</v>
      </c>
      <c r="F6" s="75" t="s">
        <v>213</v>
      </c>
      <c r="G6" s="78" t="s">
        <v>215</v>
      </c>
      <c r="H6" s="91"/>
      <c r="I6" s="77"/>
      <c r="J6" s="78"/>
      <c r="K6" s="91"/>
    </row>
    <row r="7" spans="1:11" ht="27.95" customHeight="1" x14ac:dyDescent="0.25">
      <c r="A7" s="92" t="s">
        <v>276</v>
      </c>
      <c r="B7" s="93" t="s">
        <v>264</v>
      </c>
      <c r="C7" s="94" t="s">
        <v>277</v>
      </c>
      <c r="D7" s="94" t="s">
        <v>278</v>
      </c>
      <c r="E7" s="95" t="s">
        <v>279</v>
      </c>
      <c r="F7" s="97" t="s">
        <v>231</v>
      </c>
      <c r="G7" s="78" t="s">
        <v>215</v>
      </c>
      <c r="H7" s="91"/>
      <c r="I7" s="77"/>
      <c r="J7" s="78"/>
      <c r="K7" s="91"/>
    </row>
    <row r="8" spans="1:11" ht="27.95" customHeight="1" x14ac:dyDescent="0.25">
      <c r="A8" s="89" t="s">
        <v>280</v>
      </c>
      <c r="B8" s="90" t="s">
        <v>264</v>
      </c>
      <c r="C8" s="76" t="s">
        <v>281</v>
      </c>
      <c r="D8" s="76" t="s">
        <v>282</v>
      </c>
      <c r="E8" s="74" t="s">
        <v>283</v>
      </c>
      <c r="F8" s="79" t="s">
        <v>231</v>
      </c>
      <c r="G8" s="78" t="s">
        <v>215</v>
      </c>
      <c r="H8" s="91"/>
      <c r="I8" s="77"/>
      <c r="J8" s="78"/>
      <c r="K8" s="91"/>
    </row>
    <row r="9" spans="1:11" ht="27.95" customHeight="1" x14ac:dyDescent="0.25">
      <c r="A9" s="92" t="s">
        <v>284</v>
      </c>
      <c r="B9" s="93" t="s">
        <v>285</v>
      </c>
      <c r="C9" s="94" t="s">
        <v>286</v>
      </c>
      <c r="D9" s="94" t="s">
        <v>287</v>
      </c>
      <c r="E9" s="95" t="s">
        <v>288</v>
      </c>
      <c r="F9" s="96" t="s">
        <v>213</v>
      </c>
      <c r="G9" s="78" t="s">
        <v>215</v>
      </c>
      <c r="H9" s="91"/>
      <c r="I9" s="77"/>
      <c r="J9" s="78"/>
      <c r="K9" s="91"/>
    </row>
    <row r="10" spans="1:11" ht="27.95" customHeight="1" x14ac:dyDescent="0.25">
      <c r="A10" s="89" t="s">
        <v>289</v>
      </c>
      <c r="B10" s="90" t="s">
        <v>285</v>
      </c>
      <c r="C10" s="76" t="s">
        <v>290</v>
      </c>
      <c r="D10" s="76" t="s">
        <v>291</v>
      </c>
      <c r="E10" s="74" t="s">
        <v>292</v>
      </c>
      <c r="F10" s="75" t="s">
        <v>213</v>
      </c>
      <c r="G10" s="78" t="s">
        <v>215</v>
      </c>
      <c r="H10" s="91"/>
      <c r="I10" s="77"/>
      <c r="J10" s="78"/>
      <c r="K10" s="91"/>
    </row>
    <row r="11" spans="1:11" ht="27.95" customHeight="1" x14ac:dyDescent="0.25">
      <c r="A11" s="92" t="s">
        <v>293</v>
      </c>
      <c r="B11" s="93" t="s">
        <v>285</v>
      </c>
      <c r="C11" s="94" t="s">
        <v>294</v>
      </c>
      <c r="D11" s="94" t="s">
        <v>295</v>
      </c>
      <c r="E11" s="95" t="s">
        <v>296</v>
      </c>
      <c r="F11" s="97" t="s">
        <v>231</v>
      </c>
      <c r="G11" s="78" t="s">
        <v>215</v>
      </c>
      <c r="H11" s="91"/>
      <c r="I11" s="77"/>
      <c r="J11" s="78"/>
      <c r="K11" s="91"/>
    </row>
    <row r="12" spans="1:11" ht="27.95" customHeight="1" x14ac:dyDescent="0.25">
      <c r="A12" s="89" t="s">
        <v>297</v>
      </c>
      <c r="B12" s="90" t="s">
        <v>285</v>
      </c>
      <c r="C12" s="76" t="s">
        <v>298</v>
      </c>
      <c r="D12" s="76" t="s">
        <v>299</v>
      </c>
      <c r="E12" s="74" t="s">
        <v>300</v>
      </c>
      <c r="F12" s="79" t="s">
        <v>231</v>
      </c>
      <c r="G12" s="78" t="s">
        <v>215</v>
      </c>
      <c r="H12" s="91"/>
      <c r="I12" s="77"/>
      <c r="J12" s="78"/>
      <c r="K12" s="91"/>
    </row>
    <row r="13" spans="1:11" ht="27.95" customHeight="1" x14ac:dyDescent="0.25">
      <c r="A13" s="92" t="s">
        <v>301</v>
      </c>
      <c r="B13" s="93" t="s">
        <v>285</v>
      </c>
      <c r="C13" s="94" t="s">
        <v>302</v>
      </c>
      <c r="D13" s="94" t="s">
        <v>303</v>
      </c>
      <c r="E13" s="95" t="s">
        <v>304</v>
      </c>
      <c r="F13" s="97" t="s">
        <v>231</v>
      </c>
      <c r="G13" s="78" t="s">
        <v>215</v>
      </c>
      <c r="H13" s="91"/>
      <c r="I13" s="77"/>
      <c r="J13" s="78"/>
      <c r="K13" s="91"/>
    </row>
    <row r="14" spans="1:11" ht="27.95" customHeight="1" x14ac:dyDescent="0.25">
      <c r="A14" s="89" t="s">
        <v>305</v>
      </c>
      <c r="B14" s="90" t="s">
        <v>306</v>
      </c>
      <c r="C14" s="76" t="s">
        <v>307</v>
      </c>
      <c r="D14" s="76" t="s">
        <v>308</v>
      </c>
      <c r="E14" s="74" t="s">
        <v>309</v>
      </c>
      <c r="F14" s="75" t="s">
        <v>213</v>
      </c>
      <c r="G14" s="78" t="s">
        <v>215</v>
      </c>
      <c r="H14" s="91"/>
      <c r="I14" s="77"/>
      <c r="J14" s="78"/>
      <c r="K14" s="91"/>
    </row>
    <row r="15" spans="1:11" ht="27.95" customHeight="1" x14ac:dyDescent="0.25">
      <c r="A15" s="92" t="s">
        <v>310</v>
      </c>
      <c r="B15" s="93" t="s">
        <v>306</v>
      </c>
      <c r="C15" s="94" t="s">
        <v>311</v>
      </c>
      <c r="D15" s="94" t="s">
        <v>312</v>
      </c>
      <c r="E15" s="95" t="s">
        <v>313</v>
      </c>
      <c r="F15" s="96" t="s">
        <v>213</v>
      </c>
      <c r="G15" s="78" t="s">
        <v>215</v>
      </c>
      <c r="H15" s="91"/>
      <c r="I15" s="77"/>
      <c r="J15" s="78"/>
      <c r="K15" s="91"/>
    </row>
    <row r="16" spans="1:11" ht="27.95" customHeight="1" x14ac:dyDescent="0.25">
      <c r="A16" s="89" t="s">
        <v>314</v>
      </c>
      <c r="B16" s="90" t="s">
        <v>306</v>
      </c>
      <c r="C16" s="76" t="s">
        <v>315</v>
      </c>
      <c r="D16" s="76" t="s">
        <v>316</v>
      </c>
      <c r="E16" s="74" t="s">
        <v>317</v>
      </c>
      <c r="F16" s="75" t="s">
        <v>213</v>
      </c>
      <c r="G16" s="78" t="s">
        <v>215</v>
      </c>
      <c r="H16" s="91"/>
      <c r="I16" s="77"/>
      <c r="J16" s="78"/>
      <c r="K16" s="91"/>
    </row>
    <row r="17" spans="1:11" ht="27.95" customHeight="1" x14ac:dyDescent="0.25">
      <c r="A17" s="92" t="s">
        <v>318</v>
      </c>
      <c r="B17" s="93" t="s">
        <v>306</v>
      </c>
      <c r="C17" s="94" t="s">
        <v>319</v>
      </c>
      <c r="D17" s="94" t="s">
        <v>320</v>
      </c>
      <c r="E17" s="95" t="s">
        <v>321</v>
      </c>
      <c r="F17" s="96" t="s">
        <v>213</v>
      </c>
      <c r="G17" s="78" t="s">
        <v>215</v>
      </c>
      <c r="H17" s="91"/>
      <c r="I17" s="77"/>
      <c r="J17" s="78"/>
      <c r="K17" s="91"/>
    </row>
    <row r="18" spans="1:11" ht="27.95" customHeight="1" x14ac:dyDescent="0.25">
      <c r="A18" s="89" t="s">
        <v>322</v>
      </c>
      <c r="B18" s="90" t="s">
        <v>306</v>
      </c>
      <c r="C18" s="76" t="s">
        <v>323</v>
      </c>
      <c r="D18" s="76" t="s">
        <v>324</v>
      </c>
      <c r="E18" s="74" t="s">
        <v>325</v>
      </c>
      <c r="F18" s="75" t="s">
        <v>213</v>
      </c>
      <c r="G18" s="78" t="s">
        <v>215</v>
      </c>
      <c r="H18" s="91"/>
      <c r="I18" s="77"/>
      <c r="J18" s="78"/>
      <c r="K18" s="91"/>
    </row>
    <row r="19" spans="1:11" ht="27.95" customHeight="1" x14ac:dyDescent="0.25">
      <c r="A19" s="92" t="s">
        <v>326</v>
      </c>
      <c r="B19" s="93" t="s">
        <v>306</v>
      </c>
      <c r="C19" s="94" t="s">
        <v>327</v>
      </c>
      <c r="D19" s="94" t="s">
        <v>328</v>
      </c>
      <c r="E19" s="95" t="s">
        <v>329</v>
      </c>
      <c r="F19" s="96" t="s">
        <v>213</v>
      </c>
      <c r="G19" s="78" t="s">
        <v>215</v>
      </c>
      <c r="H19" s="91"/>
      <c r="I19" s="77"/>
      <c r="J19" s="78"/>
      <c r="K19" s="91"/>
    </row>
    <row r="20" spans="1:11" ht="27.95" customHeight="1" x14ac:dyDescent="0.25">
      <c r="A20" s="89" t="s">
        <v>330</v>
      </c>
      <c r="B20" s="90" t="s">
        <v>306</v>
      </c>
      <c r="C20" s="76" t="s">
        <v>298</v>
      </c>
      <c r="D20" s="76" t="s">
        <v>331</v>
      </c>
      <c r="E20" s="74" t="s">
        <v>332</v>
      </c>
      <c r="F20" s="79" t="s">
        <v>231</v>
      </c>
      <c r="G20" s="78" t="s">
        <v>215</v>
      </c>
      <c r="H20" s="91"/>
      <c r="I20" s="77"/>
      <c r="J20" s="78"/>
      <c r="K20" s="91"/>
    </row>
    <row r="21" spans="1:11" ht="27.95" customHeight="1" x14ac:dyDescent="0.25">
      <c r="A21" s="92" t="s">
        <v>333</v>
      </c>
      <c r="B21" s="93" t="s">
        <v>334</v>
      </c>
      <c r="C21" s="94" t="s">
        <v>335</v>
      </c>
      <c r="D21" s="94" t="s">
        <v>336</v>
      </c>
      <c r="E21" s="95" t="s">
        <v>337</v>
      </c>
      <c r="F21" s="96" t="s">
        <v>213</v>
      </c>
      <c r="G21" s="78" t="s">
        <v>215</v>
      </c>
      <c r="H21" s="91"/>
      <c r="I21" s="77"/>
      <c r="J21" s="78"/>
      <c r="K21" s="91"/>
    </row>
    <row r="22" spans="1:11" ht="27.95" customHeight="1" x14ac:dyDescent="0.25">
      <c r="A22" s="89" t="s">
        <v>338</v>
      </c>
      <c r="B22" s="90" t="s">
        <v>334</v>
      </c>
      <c r="C22" s="76" t="s">
        <v>339</v>
      </c>
      <c r="D22" s="76" t="s">
        <v>340</v>
      </c>
      <c r="E22" s="74" t="s">
        <v>341</v>
      </c>
      <c r="F22" s="75" t="s">
        <v>213</v>
      </c>
      <c r="G22" s="78" t="s">
        <v>215</v>
      </c>
      <c r="H22" s="91"/>
      <c r="I22" s="77"/>
      <c r="J22" s="78"/>
      <c r="K22" s="91"/>
    </row>
    <row r="23" spans="1:11" ht="27.95" customHeight="1" x14ac:dyDescent="0.25">
      <c r="A23" s="92" t="s">
        <v>342</v>
      </c>
      <c r="B23" s="93" t="s">
        <v>334</v>
      </c>
      <c r="C23" s="94" t="s">
        <v>343</v>
      </c>
      <c r="D23" s="94" t="s">
        <v>344</v>
      </c>
      <c r="E23" s="95" t="s">
        <v>345</v>
      </c>
      <c r="F23" s="96" t="s">
        <v>213</v>
      </c>
      <c r="G23" s="78" t="s">
        <v>215</v>
      </c>
      <c r="H23" s="91"/>
      <c r="I23" s="77"/>
      <c r="J23" s="78"/>
      <c r="K23" s="91"/>
    </row>
    <row r="24" spans="1:11" ht="27.95" customHeight="1" x14ac:dyDescent="0.25">
      <c r="A24" s="89" t="s">
        <v>346</v>
      </c>
      <c r="B24" s="90" t="s">
        <v>334</v>
      </c>
      <c r="C24" s="76" t="s">
        <v>347</v>
      </c>
      <c r="D24" s="76" t="s">
        <v>348</v>
      </c>
      <c r="E24" s="74" t="s">
        <v>349</v>
      </c>
      <c r="F24" s="79" t="s">
        <v>231</v>
      </c>
      <c r="G24" s="78" t="s">
        <v>215</v>
      </c>
      <c r="H24" s="91"/>
      <c r="I24" s="77"/>
      <c r="J24" s="78"/>
      <c r="K24" s="91"/>
    </row>
    <row r="25" spans="1:11" ht="27.95" customHeight="1" x14ac:dyDescent="0.25">
      <c r="A25" s="92" t="s">
        <v>350</v>
      </c>
      <c r="B25" s="93" t="s">
        <v>351</v>
      </c>
      <c r="C25" s="94" t="s">
        <v>352</v>
      </c>
      <c r="D25" s="94" t="s">
        <v>353</v>
      </c>
      <c r="E25" s="95" t="s">
        <v>354</v>
      </c>
      <c r="F25" s="96" t="s">
        <v>213</v>
      </c>
      <c r="G25" s="78" t="s">
        <v>215</v>
      </c>
      <c r="H25" s="91"/>
      <c r="I25" s="77"/>
      <c r="J25" s="78"/>
      <c r="K25" s="91"/>
    </row>
    <row r="26" spans="1:11" ht="27.95" customHeight="1" x14ac:dyDescent="0.25">
      <c r="A26" s="89" t="s">
        <v>355</v>
      </c>
      <c r="B26" s="90" t="s">
        <v>351</v>
      </c>
      <c r="C26" s="76" t="s">
        <v>356</v>
      </c>
      <c r="D26" s="76" t="s">
        <v>357</v>
      </c>
      <c r="E26" s="74" t="s">
        <v>358</v>
      </c>
      <c r="F26" s="75" t="s">
        <v>213</v>
      </c>
      <c r="G26" s="78" t="s">
        <v>215</v>
      </c>
      <c r="H26" s="91"/>
      <c r="I26" s="77"/>
      <c r="J26" s="78"/>
      <c r="K26" s="91"/>
    </row>
    <row r="27" spans="1:11" ht="27.95" customHeight="1" x14ac:dyDescent="0.25">
      <c r="A27" s="92" t="s">
        <v>359</v>
      </c>
      <c r="B27" s="93" t="s">
        <v>351</v>
      </c>
      <c r="C27" s="94" t="s">
        <v>360</v>
      </c>
      <c r="D27" s="94" t="s">
        <v>361</v>
      </c>
      <c r="E27" s="95" t="s">
        <v>362</v>
      </c>
      <c r="F27" s="97" t="s">
        <v>231</v>
      </c>
      <c r="G27" s="78" t="s">
        <v>215</v>
      </c>
      <c r="H27" s="91"/>
      <c r="I27" s="77"/>
      <c r="J27" s="78"/>
      <c r="K27" s="91"/>
    </row>
    <row r="28" spans="1:11" ht="27.95" customHeight="1" x14ac:dyDescent="0.25">
      <c r="A28" s="89" t="s">
        <v>363</v>
      </c>
      <c r="B28" s="90" t="s">
        <v>351</v>
      </c>
      <c r="C28" s="76" t="s">
        <v>364</v>
      </c>
      <c r="D28" s="76" t="s">
        <v>365</v>
      </c>
      <c r="E28" s="74" t="s">
        <v>366</v>
      </c>
      <c r="F28" s="79" t="s">
        <v>231</v>
      </c>
      <c r="G28" s="78" t="s">
        <v>215</v>
      </c>
      <c r="H28" s="91"/>
      <c r="I28" s="77"/>
      <c r="J28" s="78"/>
      <c r="K28" s="91"/>
    </row>
    <row r="29" spans="1:11" ht="27.95" customHeight="1" x14ac:dyDescent="0.25">
      <c r="A29" s="92" t="s">
        <v>367</v>
      </c>
      <c r="B29" s="93" t="s">
        <v>368</v>
      </c>
      <c r="C29" s="94" t="s">
        <v>369</v>
      </c>
      <c r="D29" s="94" t="s">
        <v>370</v>
      </c>
      <c r="E29" s="95" t="s">
        <v>371</v>
      </c>
      <c r="F29" s="96" t="s">
        <v>213</v>
      </c>
      <c r="G29" s="78" t="s">
        <v>215</v>
      </c>
      <c r="H29" s="91"/>
      <c r="I29" s="77"/>
      <c r="J29" s="78"/>
      <c r="K29" s="91"/>
    </row>
    <row r="30" spans="1:11" ht="27.95" customHeight="1" x14ac:dyDescent="0.25">
      <c r="A30" s="89" t="s">
        <v>372</v>
      </c>
      <c r="B30" s="90" t="s">
        <v>368</v>
      </c>
      <c r="C30" s="76" t="s">
        <v>373</v>
      </c>
      <c r="D30" s="76" t="s">
        <v>374</v>
      </c>
      <c r="E30" s="74" t="s">
        <v>375</v>
      </c>
      <c r="F30" s="75" t="s">
        <v>213</v>
      </c>
      <c r="G30" s="78" t="s">
        <v>215</v>
      </c>
      <c r="H30" s="91"/>
      <c r="I30" s="77"/>
      <c r="J30" s="78"/>
      <c r="K30" s="91"/>
    </row>
    <row r="31" spans="1:11" ht="27.95" customHeight="1" x14ac:dyDescent="0.25">
      <c r="A31" s="92" t="s">
        <v>376</v>
      </c>
      <c r="B31" s="93" t="s">
        <v>368</v>
      </c>
      <c r="C31" s="94" t="s">
        <v>377</v>
      </c>
      <c r="D31" s="94" t="s">
        <v>378</v>
      </c>
      <c r="E31" s="95" t="s">
        <v>379</v>
      </c>
      <c r="F31" s="97" t="s">
        <v>231</v>
      </c>
      <c r="G31" s="78" t="s">
        <v>215</v>
      </c>
      <c r="H31" s="91"/>
      <c r="I31" s="77"/>
      <c r="J31" s="78"/>
      <c r="K31" s="91"/>
    </row>
    <row r="32" spans="1:11" ht="27.95" customHeight="1" x14ac:dyDescent="0.25">
      <c r="A32" s="89" t="s">
        <v>380</v>
      </c>
      <c r="B32" s="90" t="s">
        <v>368</v>
      </c>
      <c r="C32" s="76" t="s">
        <v>381</v>
      </c>
      <c r="D32" s="76" t="s">
        <v>382</v>
      </c>
      <c r="E32" s="74" t="s">
        <v>383</v>
      </c>
      <c r="F32" s="79" t="s">
        <v>231</v>
      </c>
      <c r="G32" s="78" t="s">
        <v>215</v>
      </c>
      <c r="H32" s="91"/>
      <c r="I32" s="77"/>
      <c r="J32" s="78"/>
      <c r="K32" s="91"/>
    </row>
    <row r="33" spans="1:11" ht="27.95" customHeight="1" x14ac:dyDescent="0.25">
      <c r="A33" s="92" t="s">
        <v>384</v>
      </c>
      <c r="B33" s="93" t="s">
        <v>385</v>
      </c>
      <c r="C33" s="94" t="s">
        <v>386</v>
      </c>
      <c r="D33" s="94" t="s">
        <v>387</v>
      </c>
      <c r="E33" s="95" t="s">
        <v>388</v>
      </c>
      <c r="F33" s="96" t="s">
        <v>213</v>
      </c>
      <c r="G33" s="78" t="s">
        <v>215</v>
      </c>
      <c r="H33" s="91"/>
      <c r="I33" s="77"/>
      <c r="J33" s="78"/>
      <c r="K33" s="91"/>
    </row>
    <row r="34" spans="1:11" ht="27.95" customHeight="1" x14ac:dyDescent="0.25">
      <c r="A34" s="89" t="s">
        <v>389</v>
      </c>
      <c r="B34" s="90" t="s">
        <v>385</v>
      </c>
      <c r="C34" s="76" t="s">
        <v>390</v>
      </c>
      <c r="D34" s="76" t="s">
        <v>391</v>
      </c>
      <c r="E34" s="74" t="s">
        <v>392</v>
      </c>
      <c r="F34" s="79" t="s">
        <v>231</v>
      </c>
      <c r="G34" s="78" t="s">
        <v>215</v>
      </c>
      <c r="H34" s="91"/>
      <c r="I34" s="77"/>
      <c r="J34" s="78"/>
      <c r="K34" s="91"/>
    </row>
    <row r="35" spans="1:11" ht="27.95" customHeight="1" x14ac:dyDescent="0.25">
      <c r="A35" s="92" t="s">
        <v>393</v>
      </c>
      <c r="B35" s="93" t="s">
        <v>394</v>
      </c>
      <c r="C35" s="94" t="s">
        <v>395</v>
      </c>
      <c r="D35" s="94" t="s">
        <v>396</v>
      </c>
      <c r="E35" s="95" t="s">
        <v>397</v>
      </c>
      <c r="F35" s="97" t="s">
        <v>231</v>
      </c>
      <c r="G35" s="78" t="s">
        <v>215</v>
      </c>
      <c r="H35" s="91"/>
      <c r="I35" s="77"/>
      <c r="J35" s="78"/>
      <c r="K35" s="91"/>
    </row>
    <row r="36" spans="1:11" ht="27.95" customHeight="1" x14ac:dyDescent="0.25">
      <c r="A36" s="89" t="s">
        <v>398</v>
      </c>
      <c r="B36" s="90" t="s">
        <v>399</v>
      </c>
      <c r="C36" s="76" t="s">
        <v>400</v>
      </c>
      <c r="D36" s="76" t="s">
        <v>401</v>
      </c>
      <c r="E36" s="74" t="s">
        <v>402</v>
      </c>
      <c r="F36" s="75" t="s">
        <v>213</v>
      </c>
      <c r="G36" s="78" t="s">
        <v>215</v>
      </c>
      <c r="H36" s="91"/>
      <c r="I36" s="77"/>
      <c r="J36" s="78"/>
      <c r="K36" s="91"/>
    </row>
    <row r="37" spans="1:11" ht="27.95" customHeight="1" x14ac:dyDescent="0.25">
      <c r="A37" s="92" t="s">
        <v>403</v>
      </c>
      <c r="B37" s="93" t="s">
        <v>399</v>
      </c>
      <c r="C37" s="94" t="s">
        <v>404</v>
      </c>
      <c r="D37" s="94" t="s">
        <v>405</v>
      </c>
      <c r="E37" s="95" t="s">
        <v>406</v>
      </c>
      <c r="F37" s="96" t="s">
        <v>213</v>
      </c>
      <c r="G37" s="78" t="s">
        <v>215</v>
      </c>
      <c r="H37" s="91"/>
      <c r="I37" s="77"/>
      <c r="J37" s="78"/>
      <c r="K37" s="91"/>
    </row>
    <row r="38" spans="1:11" ht="27.95" customHeight="1" x14ac:dyDescent="0.25">
      <c r="A38" s="89" t="s">
        <v>407</v>
      </c>
      <c r="B38" s="90" t="s">
        <v>399</v>
      </c>
      <c r="C38" s="76" t="s">
        <v>408</v>
      </c>
      <c r="D38" s="76" t="s">
        <v>409</v>
      </c>
      <c r="E38" s="74" t="s">
        <v>410</v>
      </c>
      <c r="F38" s="75" t="s">
        <v>213</v>
      </c>
      <c r="G38" s="78" t="s">
        <v>215</v>
      </c>
      <c r="H38" s="91"/>
      <c r="I38" s="77"/>
      <c r="J38" s="78"/>
      <c r="K38" s="91"/>
    </row>
    <row r="39" spans="1:11" ht="27.95" customHeight="1" x14ac:dyDescent="0.25">
      <c r="A39" s="92" t="s">
        <v>411</v>
      </c>
      <c r="B39" s="93" t="s">
        <v>399</v>
      </c>
      <c r="C39" s="94" t="s">
        <v>412</v>
      </c>
      <c r="D39" s="94" t="s">
        <v>413</v>
      </c>
      <c r="E39" s="95" t="s">
        <v>414</v>
      </c>
      <c r="F39" s="96" t="s">
        <v>213</v>
      </c>
      <c r="G39" s="78" t="s">
        <v>215</v>
      </c>
      <c r="H39" s="91"/>
      <c r="I39" s="77"/>
      <c r="J39" s="78"/>
      <c r="K39" s="91"/>
    </row>
    <row r="40" spans="1:11" ht="27.95" customHeight="1" x14ac:dyDescent="0.25">
      <c r="A40" s="89" t="s">
        <v>415</v>
      </c>
      <c r="B40" s="90" t="s">
        <v>399</v>
      </c>
      <c r="C40" s="76" t="s">
        <v>416</v>
      </c>
      <c r="D40" s="76" t="s">
        <v>417</v>
      </c>
      <c r="E40" s="74" t="s">
        <v>418</v>
      </c>
      <c r="F40" s="75" t="s">
        <v>213</v>
      </c>
      <c r="G40" s="78" t="s">
        <v>215</v>
      </c>
      <c r="H40" s="91"/>
      <c r="I40" s="77"/>
      <c r="J40" s="78"/>
      <c r="K40" s="91"/>
    </row>
    <row r="41" spans="1:11" ht="27.95" customHeight="1" x14ac:dyDescent="0.25">
      <c r="A41" s="92" t="s">
        <v>419</v>
      </c>
      <c r="B41" s="93" t="s">
        <v>399</v>
      </c>
      <c r="C41" s="94" t="s">
        <v>420</v>
      </c>
      <c r="D41" s="94" t="s">
        <v>421</v>
      </c>
      <c r="E41" s="95" t="s">
        <v>422</v>
      </c>
      <c r="F41" s="97" t="s">
        <v>231</v>
      </c>
      <c r="G41" s="78" t="s">
        <v>215</v>
      </c>
      <c r="H41" s="91"/>
      <c r="I41" s="77"/>
      <c r="J41" s="78"/>
      <c r="K41" s="91"/>
    </row>
    <row r="42" spans="1:11" ht="27.95" customHeight="1" x14ac:dyDescent="0.25">
      <c r="A42" s="89" t="s">
        <v>423</v>
      </c>
      <c r="B42" s="90" t="s">
        <v>399</v>
      </c>
      <c r="C42" s="76" t="s">
        <v>424</v>
      </c>
      <c r="D42" s="76" t="s">
        <v>425</v>
      </c>
      <c r="E42" s="74" t="s">
        <v>426</v>
      </c>
      <c r="F42" s="79" t="s">
        <v>231</v>
      </c>
      <c r="G42" s="78" t="s">
        <v>215</v>
      </c>
      <c r="H42" s="91"/>
      <c r="I42" s="77"/>
      <c r="J42" s="78"/>
      <c r="K42" s="91"/>
    </row>
    <row r="43" spans="1:11" ht="27.95" customHeight="1" x14ac:dyDescent="0.25">
      <c r="A43" s="92" t="s">
        <v>427</v>
      </c>
      <c r="B43" s="93" t="s">
        <v>399</v>
      </c>
      <c r="C43" s="94" t="s">
        <v>428</v>
      </c>
      <c r="D43" s="94" t="s">
        <v>429</v>
      </c>
      <c r="E43" s="95" t="s">
        <v>430</v>
      </c>
      <c r="F43" s="96" t="s">
        <v>213</v>
      </c>
      <c r="G43" s="78" t="s">
        <v>215</v>
      </c>
      <c r="H43" s="91"/>
      <c r="I43" s="77"/>
      <c r="J43" s="78"/>
      <c r="K43" s="91"/>
    </row>
  </sheetData>
  <autoFilter ref="A3:K43" xr:uid="{00000000-0009-0000-0000-000009000000}"/>
  <conditionalFormatting sqref="G4:G43">
    <cfRule type="cellIs" dxfId="14" priority="1" operator="equal">
      <formula>"Pass"</formula>
    </cfRule>
    <cfRule type="cellIs" dxfId="13" priority="2" operator="equal">
      <formula>"Fail"</formula>
    </cfRule>
    <cfRule type="cellIs" dxfId="12" priority="3" operator="equal">
      <formula>"Blocked"</formula>
    </cfRule>
  </conditionalFormatting>
  <dataValidations count="1">
    <dataValidation type="list" allowBlank="1" error="Pick one of: Not started, Pass, Fail, Blocked, N/A" promptTitle="Result" prompt="Not started / Pass / Fail / Blocked / N/A" sqref="G4:G198" xr:uid="{00000000-0002-0000-0900-000000000000}">
      <formula1>"Not started,Pass,Fail,Blocked,N/A"</formula1>
    </dataValidation>
  </dataValidations>
  <hyperlinks>
    <hyperlink ref="A1" location="'Contents'!A1" display="‹ Contents" xr:uid="{00000000-0004-0000-0900-000000000000}"/>
  </hyperlink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A5A12"/>
    <pageSetUpPr fitToPage="1"/>
  </sheetPr>
  <dimension ref="A1:O20"/>
  <sheetViews>
    <sheetView showGridLines="0" workbookViewId="0">
      <pane ySplit="3" topLeftCell="A4" activePane="bottomLeft" state="frozen"/>
      <selection pane="bottomLeft" activeCell="A2" sqref="A2:XFD2"/>
    </sheetView>
  </sheetViews>
  <sheetFormatPr defaultRowHeight="15" x14ac:dyDescent="0.25"/>
  <cols>
    <col min="1" max="1" width="9" customWidth="1"/>
    <col min="2" max="2" width="15" customWidth="1"/>
    <col min="3" max="3" width="28" customWidth="1"/>
    <col min="4" max="4" width="10" customWidth="1"/>
    <col min="5" max="5" width="9" customWidth="1"/>
    <col min="6" max="9" width="11" customWidth="1"/>
    <col min="10" max="12" width="12" customWidth="1"/>
    <col min="13" max="13" width="13" customWidth="1"/>
    <col min="14" max="14" width="12" customWidth="1"/>
    <col min="15" max="15" width="24" customWidth="1"/>
  </cols>
  <sheetData>
    <row r="1" spans="1:15" x14ac:dyDescent="0.25">
      <c r="A1" s="16" t="s">
        <v>53</v>
      </c>
    </row>
    <row r="3" spans="1:15" ht="32.1" customHeight="1" x14ac:dyDescent="0.25">
      <c r="A3" s="29" t="s">
        <v>255</v>
      </c>
      <c r="B3" s="29" t="s">
        <v>431</v>
      </c>
      <c r="C3" s="29" t="s">
        <v>432</v>
      </c>
      <c r="D3" s="29" t="s">
        <v>433</v>
      </c>
      <c r="E3" s="29" t="s">
        <v>434</v>
      </c>
      <c r="F3" s="29" t="s">
        <v>435</v>
      </c>
      <c r="G3" s="29" t="s">
        <v>436</v>
      </c>
      <c r="H3" s="29" t="s">
        <v>437</v>
      </c>
      <c r="I3" s="29" t="s">
        <v>438</v>
      </c>
      <c r="J3" s="29" t="s">
        <v>143</v>
      </c>
      <c r="K3" s="29" t="s">
        <v>144</v>
      </c>
      <c r="L3" s="29" t="s">
        <v>192</v>
      </c>
      <c r="M3" s="29" t="s">
        <v>439</v>
      </c>
      <c r="N3" s="29" t="s">
        <v>261</v>
      </c>
      <c r="O3" s="29" t="s">
        <v>440</v>
      </c>
    </row>
    <row r="4" spans="1:15" ht="21" customHeight="1" x14ac:dyDescent="0.25">
      <c r="A4" s="98" t="s">
        <v>441</v>
      </c>
      <c r="B4" s="31" t="s">
        <v>442</v>
      </c>
      <c r="C4" s="99"/>
      <c r="D4" s="100"/>
      <c r="E4" s="100"/>
      <c r="F4" s="101">
        <v>10</v>
      </c>
      <c r="G4" s="100"/>
      <c r="H4" s="100"/>
      <c r="I4" s="102" t="str">
        <f t="shared" ref="I4:I18" si="0">IF(COUNT(G4:H4)=0,"",AVERAGE(G4:H4))</f>
        <v/>
      </c>
      <c r="J4" s="100"/>
      <c r="K4" s="100"/>
      <c r="L4" s="103" t="str">
        <f t="shared" ref="L4:L18" si="1">IF(I4="","Not started",IF(I4&lt;=F4,"Pass","Fail"))</f>
        <v>Not started</v>
      </c>
      <c r="M4" s="104" t="str">
        <f t="shared" ref="M4:M18" si="2">IF(OR(E4="",J4=""),"",(J4+K4)/E4)</f>
        <v/>
      </c>
      <c r="N4" s="99"/>
      <c r="O4" s="105"/>
    </row>
    <row r="5" spans="1:15" ht="21" customHeight="1" x14ac:dyDescent="0.25">
      <c r="A5" s="98" t="s">
        <v>443</v>
      </c>
      <c r="B5" s="31" t="s">
        <v>442</v>
      </c>
      <c r="C5" s="99"/>
      <c r="D5" s="100"/>
      <c r="E5" s="100"/>
      <c r="F5" s="101">
        <v>10</v>
      </c>
      <c r="G5" s="100"/>
      <c r="H5" s="100"/>
      <c r="I5" s="102" t="str">
        <f t="shared" si="0"/>
        <v/>
      </c>
      <c r="J5" s="100"/>
      <c r="K5" s="100"/>
      <c r="L5" s="103" t="str">
        <f t="shared" si="1"/>
        <v>Not started</v>
      </c>
      <c r="M5" s="104" t="str">
        <f t="shared" si="2"/>
        <v/>
      </c>
      <c r="N5" s="99"/>
      <c r="O5" s="105"/>
    </row>
    <row r="6" spans="1:15" ht="21" customHeight="1" x14ac:dyDescent="0.25">
      <c r="A6" s="98" t="s">
        <v>444</v>
      </c>
      <c r="B6" s="31" t="s">
        <v>442</v>
      </c>
      <c r="C6" s="99"/>
      <c r="D6" s="100"/>
      <c r="E6" s="100"/>
      <c r="F6" s="101">
        <v>10</v>
      </c>
      <c r="G6" s="100"/>
      <c r="H6" s="100"/>
      <c r="I6" s="102" t="str">
        <f t="shared" si="0"/>
        <v/>
      </c>
      <c r="J6" s="100"/>
      <c r="K6" s="100"/>
      <c r="L6" s="103" t="str">
        <f t="shared" si="1"/>
        <v>Not started</v>
      </c>
      <c r="M6" s="104" t="str">
        <f t="shared" si="2"/>
        <v/>
      </c>
      <c r="N6" s="99"/>
      <c r="O6" s="105"/>
    </row>
    <row r="7" spans="1:15" ht="21" customHeight="1" x14ac:dyDescent="0.25">
      <c r="A7" s="98" t="s">
        <v>445</v>
      </c>
      <c r="B7" s="31" t="s">
        <v>446</v>
      </c>
      <c r="C7" s="99"/>
      <c r="D7" s="100"/>
      <c r="E7" s="100"/>
      <c r="F7" s="101">
        <v>30</v>
      </c>
      <c r="G7" s="100"/>
      <c r="H7" s="100"/>
      <c r="I7" s="102" t="str">
        <f t="shared" si="0"/>
        <v/>
      </c>
      <c r="J7" s="100"/>
      <c r="K7" s="100"/>
      <c r="L7" s="103" t="str">
        <f t="shared" si="1"/>
        <v>Not started</v>
      </c>
      <c r="M7" s="104" t="str">
        <f t="shared" si="2"/>
        <v/>
      </c>
      <c r="N7" s="99"/>
      <c r="O7" s="105"/>
    </row>
    <row r="8" spans="1:15" ht="21" customHeight="1" x14ac:dyDescent="0.25">
      <c r="A8" s="98" t="s">
        <v>447</v>
      </c>
      <c r="B8" s="31" t="s">
        <v>446</v>
      </c>
      <c r="C8" s="99"/>
      <c r="D8" s="100"/>
      <c r="E8" s="100"/>
      <c r="F8" s="101">
        <v>30</v>
      </c>
      <c r="G8" s="100"/>
      <c r="H8" s="100"/>
      <c r="I8" s="102" t="str">
        <f t="shared" si="0"/>
        <v/>
      </c>
      <c r="J8" s="100"/>
      <c r="K8" s="100"/>
      <c r="L8" s="103" t="str">
        <f t="shared" si="1"/>
        <v>Not started</v>
      </c>
      <c r="M8" s="104" t="str">
        <f t="shared" si="2"/>
        <v/>
      </c>
      <c r="N8" s="99"/>
      <c r="O8" s="105"/>
    </row>
    <row r="9" spans="1:15" ht="21" customHeight="1" x14ac:dyDescent="0.25">
      <c r="A9" s="98" t="s">
        <v>448</v>
      </c>
      <c r="B9" s="31" t="s">
        <v>446</v>
      </c>
      <c r="C9" s="99"/>
      <c r="D9" s="100"/>
      <c r="E9" s="100"/>
      <c r="F9" s="101">
        <v>30</v>
      </c>
      <c r="G9" s="100"/>
      <c r="H9" s="100"/>
      <c r="I9" s="102" t="str">
        <f t="shared" si="0"/>
        <v/>
      </c>
      <c r="J9" s="100"/>
      <c r="K9" s="100"/>
      <c r="L9" s="103" t="str">
        <f t="shared" si="1"/>
        <v>Not started</v>
      </c>
      <c r="M9" s="104" t="str">
        <f t="shared" si="2"/>
        <v/>
      </c>
      <c r="N9" s="99"/>
      <c r="O9" s="105"/>
    </row>
    <row r="10" spans="1:15" ht="21" customHeight="1" x14ac:dyDescent="0.25">
      <c r="A10" s="98" t="s">
        <v>449</v>
      </c>
      <c r="B10" s="31" t="s">
        <v>450</v>
      </c>
      <c r="C10" s="99"/>
      <c r="D10" s="100"/>
      <c r="E10" s="100"/>
      <c r="F10" s="101">
        <v>90</v>
      </c>
      <c r="G10" s="100"/>
      <c r="H10" s="100"/>
      <c r="I10" s="102" t="str">
        <f t="shared" si="0"/>
        <v/>
      </c>
      <c r="J10" s="100"/>
      <c r="K10" s="100"/>
      <c r="L10" s="103" t="str">
        <f t="shared" si="1"/>
        <v>Not started</v>
      </c>
      <c r="M10" s="104" t="str">
        <f t="shared" si="2"/>
        <v/>
      </c>
      <c r="N10" s="99"/>
      <c r="O10" s="105"/>
    </row>
    <row r="11" spans="1:15" ht="21" customHeight="1" x14ac:dyDescent="0.25">
      <c r="A11" s="98" t="s">
        <v>451</v>
      </c>
      <c r="B11" s="31" t="s">
        <v>450</v>
      </c>
      <c r="C11" s="99"/>
      <c r="D11" s="100"/>
      <c r="E11" s="100"/>
      <c r="F11" s="101">
        <v>90</v>
      </c>
      <c r="G11" s="100"/>
      <c r="H11" s="100"/>
      <c r="I11" s="102" t="str">
        <f t="shared" si="0"/>
        <v/>
      </c>
      <c r="J11" s="100"/>
      <c r="K11" s="100"/>
      <c r="L11" s="103" t="str">
        <f t="shared" si="1"/>
        <v>Not started</v>
      </c>
      <c r="M11" s="104" t="str">
        <f t="shared" si="2"/>
        <v/>
      </c>
      <c r="N11" s="99"/>
      <c r="O11" s="105"/>
    </row>
    <row r="12" spans="1:15" ht="21" customHeight="1" x14ac:dyDescent="0.25">
      <c r="A12" s="98" t="s">
        <v>452</v>
      </c>
      <c r="B12" s="31" t="s">
        <v>450</v>
      </c>
      <c r="C12" s="99"/>
      <c r="D12" s="100"/>
      <c r="E12" s="100"/>
      <c r="F12" s="101">
        <v>90</v>
      </c>
      <c r="G12" s="100"/>
      <c r="H12" s="100"/>
      <c r="I12" s="102" t="str">
        <f t="shared" si="0"/>
        <v/>
      </c>
      <c r="J12" s="100"/>
      <c r="K12" s="100"/>
      <c r="L12" s="103" t="str">
        <f t="shared" si="1"/>
        <v>Not started</v>
      </c>
      <c r="M12" s="104" t="str">
        <f t="shared" si="2"/>
        <v/>
      </c>
      <c r="N12" s="99"/>
      <c r="O12" s="105"/>
    </row>
    <row r="13" spans="1:15" ht="21" customHeight="1" x14ac:dyDescent="0.25">
      <c r="A13" s="98" t="s">
        <v>453</v>
      </c>
      <c r="B13" s="31" t="s">
        <v>454</v>
      </c>
      <c r="C13" s="99"/>
      <c r="D13" s="100"/>
      <c r="E13" s="100"/>
      <c r="F13" s="101">
        <v>300</v>
      </c>
      <c r="G13" s="100"/>
      <c r="H13" s="100"/>
      <c r="I13" s="102" t="str">
        <f t="shared" si="0"/>
        <v/>
      </c>
      <c r="J13" s="100"/>
      <c r="K13" s="100"/>
      <c r="L13" s="103" t="str">
        <f t="shared" si="1"/>
        <v>Not started</v>
      </c>
      <c r="M13" s="104" t="str">
        <f t="shared" si="2"/>
        <v/>
      </c>
      <c r="N13" s="99"/>
      <c r="O13" s="105"/>
    </row>
    <row r="14" spans="1:15" ht="21" customHeight="1" x14ac:dyDescent="0.25">
      <c r="A14" s="98" t="s">
        <v>455</v>
      </c>
      <c r="B14" s="31" t="s">
        <v>454</v>
      </c>
      <c r="C14" s="99"/>
      <c r="D14" s="100"/>
      <c r="E14" s="100"/>
      <c r="F14" s="101">
        <v>300</v>
      </c>
      <c r="G14" s="100"/>
      <c r="H14" s="100"/>
      <c r="I14" s="102" t="str">
        <f t="shared" si="0"/>
        <v/>
      </c>
      <c r="J14" s="100"/>
      <c r="K14" s="100"/>
      <c r="L14" s="103" t="str">
        <f t="shared" si="1"/>
        <v>Not started</v>
      </c>
      <c r="M14" s="104" t="str">
        <f t="shared" si="2"/>
        <v/>
      </c>
      <c r="N14" s="99"/>
      <c r="O14" s="105"/>
    </row>
    <row r="15" spans="1:15" ht="21" customHeight="1" x14ac:dyDescent="0.25">
      <c r="A15" s="98" t="s">
        <v>456</v>
      </c>
      <c r="B15" s="31" t="s">
        <v>454</v>
      </c>
      <c r="C15" s="99"/>
      <c r="D15" s="100"/>
      <c r="E15" s="100"/>
      <c r="F15" s="101">
        <v>300</v>
      </c>
      <c r="G15" s="100"/>
      <c r="H15" s="100"/>
      <c r="I15" s="102" t="str">
        <f t="shared" si="0"/>
        <v/>
      </c>
      <c r="J15" s="100"/>
      <c r="K15" s="100"/>
      <c r="L15" s="103" t="str">
        <f t="shared" si="1"/>
        <v>Not started</v>
      </c>
      <c r="M15" s="104" t="str">
        <f t="shared" si="2"/>
        <v/>
      </c>
      <c r="N15" s="99"/>
      <c r="O15" s="105"/>
    </row>
    <row r="16" spans="1:15" ht="21" customHeight="1" x14ac:dyDescent="0.25">
      <c r="A16" s="98" t="s">
        <v>457</v>
      </c>
      <c r="B16" s="31" t="s">
        <v>458</v>
      </c>
      <c r="C16" s="99"/>
      <c r="D16" s="100"/>
      <c r="E16" s="100"/>
      <c r="F16" s="101">
        <v>600</v>
      </c>
      <c r="G16" s="100"/>
      <c r="H16" s="100"/>
      <c r="I16" s="102" t="str">
        <f t="shared" si="0"/>
        <v/>
      </c>
      <c r="J16" s="100"/>
      <c r="K16" s="100"/>
      <c r="L16" s="103" t="str">
        <f t="shared" si="1"/>
        <v>Not started</v>
      </c>
      <c r="M16" s="104" t="str">
        <f t="shared" si="2"/>
        <v/>
      </c>
      <c r="N16" s="99"/>
      <c r="O16" s="105"/>
    </row>
    <row r="17" spans="1:15" ht="21" customHeight="1" x14ac:dyDescent="0.25">
      <c r="A17" s="98" t="s">
        <v>459</v>
      </c>
      <c r="B17" s="31" t="s">
        <v>458</v>
      </c>
      <c r="C17" s="99"/>
      <c r="D17" s="100"/>
      <c r="E17" s="100"/>
      <c r="F17" s="101">
        <v>600</v>
      </c>
      <c r="G17" s="100"/>
      <c r="H17" s="100"/>
      <c r="I17" s="102" t="str">
        <f t="shared" si="0"/>
        <v/>
      </c>
      <c r="J17" s="100"/>
      <c r="K17" s="100"/>
      <c r="L17" s="103" t="str">
        <f t="shared" si="1"/>
        <v>Not started</v>
      </c>
      <c r="M17" s="104" t="str">
        <f t="shared" si="2"/>
        <v/>
      </c>
      <c r="N17" s="99"/>
      <c r="O17" s="105"/>
    </row>
    <row r="18" spans="1:15" ht="21" customHeight="1" x14ac:dyDescent="0.25">
      <c r="A18" s="98" t="s">
        <v>460</v>
      </c>
      <c r="B18" s="31" t="s">
        <v>458</v>
      </c>
      <c r="C18" s="99"/>
      <c r="D18" s="100"/>
      <c r="E18" s="100"/>
      <c r="F18" s="101">
        <v>600</v>
      </c>
      <c r="G18" s="100"/>
      <c r="H18" s="100"/>
      <c r="I18" s="102" t="str">
        <f t="shared" si="0"/>
        <v/>
      </c>
      <c r="J18" s="100"/>
      <c r="K18" s="100"/>
      <c r="L18" s="103" t="str">
        <f t="shared" si="1"/>
        <v>Not started</v>
      </c>
      <c r="M18" s="104" t="str">
        <f t="shared" si="2"/>
        <v/>
      </c>
      <c r="N18" s="99"/>
      <c r="O18" s="105"/>
    </row>
    <row r="20" spans="1:15" ht="44.1" customHeight="1" x14ac:dyDescent="0.25">
      <c r="A20" s="125" t="s">
        <v>461</v>
      </c>
      <c r="B20" s="122"/>
      <c r="C20" s="122"/>
      <c r="D20" s="122"/>
      <c r="E20" s="122"/>
      <c r="F20" s="122"/>
      <c r="G20" s="122"/>
      <c r="H20" s="122"/>
      <c r="I20" s="122"/>
    </row>
  </sheetData>
  <autoFilter ref="A3:O18" xr:uid="{00000000-0009-0000-0000-00000A000000}"/>
  <mergeCells count="1">
    <mergeCell ref="A20:I20"/>
  </mergeCells>
  <conditionalFormatting sqref="L4:L18">
    <cfRule type="cellIs" dxfId="11" priority="1" operator="equal">
      <formula>"Pass"</formula>
    </cfRule>
    <cfRule type="cellIs" dxfId="10" priority="2" operator="equal">
      <formula>"Fail"</formula>
    </cfRule>
    <cfRule type="cellIs" dxfId="9" priority="3" operator="equal">
      <formula>"Blocked"</formula>
    </cfRule>
  </conditionalFormatting>
  <hyperlinks>
    <hyperlink ref="A1" location="'Contents'!A1" display="‹ Contents" xr:uid="{00000000-0004-0000-0A00-000000000000}"/>
  </hyperlink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A5A12"/>
    <pageSetUpPr fitToPage="1"/>
  </sheetPr>
  <dimension ref="A1:P17"/>
  <sheetViews>
    <sheetView showGridLines="0" workbookViewId="0">
      <pane ySplit="3" topLeftCell="A4" activePane="bottomLeft" state="frozen"/>
      <selection pane="bottomLeft" activeCell="A2" sqref="A2:XFD2"/>
    </sheetView>
  </sheetViews>
  <sheetFormatPr defaultRowHeight="15" x14ac:dyDescent="0.25"/>
  <cols>
    <col min="1" max="1" width="10" customWidth="1"/>
    <col min="2" max="2" width="13" customWidth="1"/>
    <col min="3" max="3" width="26" customWidth="1"/>
    <col min="4" max="4" width="10" customWidth="1"/>
    <col min="5" max="6" width="9" customWidth="1"/>
    <col min="7" max="8" width="10" customWidth="1"/>
    <col min="9" max="9" width="11" customWidth="1"/>
    <col min="10" max="11" width="10" customWidth="1"/>
    <col min="12" max="12" width="11" customWidth="1"/>
    <col min="13" max="13" width="12" customWidth="1"/>
    <col min="14" max="14" width="13" customWidth="1"/>
    <col min="15" max="15" width="12" customWidth="1"/>
    <col min="16" max="16" width="26" customWidth="1"/>
  </cols>
  <sheetData>
    <row r="1" spans="1:16" x14ac:dyDescent="0.25">
      <c r="A1" s="16" t="s">
        <v>53</v>
      </c>
    </row>
    <row r="3" spans="1:16" ht="32.1" customHeight="1" x14ac:dyDescent="0.25">
      <c r="A3" s="29" t="s">
        <v>255</v>
      </c>
      <c r="B3" s="29" t="s">
        <v>462</v>
      </c>
      <c r="C3" s="29" t="s">
        <v>463</v>
      </c>
      <c r="D3" s="29" t="s">
        <v>464</v>
      </c>
      <c r="E3" s="29" t="s">
        <v>465</v>
      </c>
      <c r="F3" s="29" t="s">
        <v>466</v>
      </c>
      <c r="G3" s="29" t="s">
        <v>467</v>
      </c>
      <c r="H3" s="29" t="s">
        <v>433</v>
      </c>
      <c r="I3" s="29" t="s">
        <v>435</v>
      </c>
      <c r="J3" s="29" t="s">
        <v>436</v>
      </c>
      <c r="K3" s="29" t="s">
        <v>437</v>
      </c>
      <c r="L3" s="29" t="s">
        <v>438</v>
      </c>
      <c r="M3" s="29" t="s">
        <v>192</v>
      </c>
      <c r="N3" s="29" t="s">
        <v>468</v>
      </c>
      <c r="O3" s="29" t="s">
        <v>261</v>
      </c>
      <c r="P3" s="29" t="s">
        <v>440</v>
      </c>
    </row>
    <row r="4" spans="1:16" ht="21" customHeight="1" x14ac:dyDescent="0.25">
      <c r="A4" s="98" t="s">
        <v>469</v>
      </c>
      <c r="B4" s="31" t="s">
        <v>470</v>
      </c>
      <c r="C4" s="99"/>
      <c r="D4" s="100"/>
      <c r="E4" s="100"/>
      <c r="F4" s="100"/>
      <c r="G4" s="100"/>
      <c r="H4" s="100"/>
      <c r="I4" s="101">
        <v>30</v>
      </c>
      <c r="J4" s="100"/>
      <c r="K4" s="100"/>
      <c r="L4" s="102" t="str">
        <f t="shared" ref="L4:L15" si="0">IF(COUNT(J4:K4)=0,"",AVERAGE(J4:K4))</f>
        <v/>
      </c>
      <c r="M4" s="103" t="str">
        <f t="shared" ref="M4:M15" si="1">IF(L4="","Not started",IF(L4&lt;=I4,"Pass","Fail"))</f>
        <v>Not started</v>
      </c>
      <c r="N4" s="100"/>
      <c r="O4" s="99"/>
      <c r="P4" s="32" t="s">
        <v>471</v>
      </c>
    </row>
    <row r="5" spans="1:16" ht="21" customHeight="1" x14ac:dyDescent="0.25">
      <c r="A5" s="98" t="s">
        <v>472</v>
      </c>
      <c r="B5" s="31" t="s">
        <v>470</v>
      </c>
      <c r="C5" s="99"/>
      <c r="D5" s="100"/>
      <c r="E5" s="100"/>
      <c r="F5" s="100"/>
      <c r="G5" s="100"/>
      <c r="H5" s="100"/>
      <c r="I5" s="101">
        <v>30</v>
      </c>
      <c r="J5" s="100"/>
      <c r="K5" s="100"/>
      <c r="L5" s="102" t="str">
        <f t="shared" si="0"/>
        <v/>
      </c>
      <c r="M5" s="103" t="str">
        <f t="shared" si="1"/>
        <v>Not started</v>
      </c>
      <c r="N5" s="100"/>
      <c r="O5" s="99"/>
      <c r="P5" s="106"/>
    </row>
    <row r="6" spans="1:16" ht="21" customHeight="1" x14ac:dyDescent="0.25">
      <c r="A6" s="98" t="s">
        <v>473</v>
      </c>
      <c r="B6" s="31" t="s">
        <v>470</v>
      </c>
      <c r="C6" s="99"/>
      <c r="D6" s="100"/>
      <c r="E6" s="100"/>
      <c r="F6" s="100"/>
      <c r="G6" s="100"/>
      <c r="H6" s="100"/>
      <c r="I6" s="101">
        <v>30</v>
      </c>
      <c r="J6" s="100"/>
      <c r="K6" s="100"/>
      <c r="L6" s="102" t="str">
        <f t="shared" si="0"/>
        <v/>
      </c>
      <c r="M6" s="103" t="str">
        <f t="shared" si="1"/>
        <v>Not started</v>
      </c>
      <c r="N6" s="100"/>
      <c r="O6" s="99"/>
      <c r="P6" s="106"/>
    </row>
    <row r="7" spans="1:16" ht="21" customHeight="1" x14ac:dyDescent="0.25">
      <c r="A7" s="98" t="s">
        <v>474</v>
      </c>
      <c r="B7" s="31" t="s">
        <v>231</v>
      </c>
      <c r="C7" s="99"/>
      <c r="D7" s="100"/>
      <c r="E7" s="100"/>
      <c r="F7" s="100"/>
      <c r="G7" s="100"/>
      <c r="H7" s="100"/>
      <c r="I7" s="101">
        <v>120</v>
      </c>
      <c r="J7" s="100"/>
      <c r="K7" s="100"/>
      <c r="L7" s="102" t="str">
        <f t="shared" si="0"/>
        <v/>
      </c>
      <c r="M7" s="103" t="str">
        <f t="shared" si="1"/>
        <v>Not started</v>
      </c>
      <c r="N7" s="100"/>
      <c r="O7" s="99"/>
      <c r="P7" s="32" t="s">
        <v>475</v>
      </c>
    </row>
    <row r="8" spans="1:16" ht="21" customHeight="1" x14ac:dyDescent="0.25">
      <c r="A8" s="98" t="s">
        <v>476</v>
      </c>
      <c r="B8" s="31" t="s">
        <v>231</v>
      </c>
      <c r="C8" s="99"/>
      <c r="D8" s="100"/>
      <c r="E8" s="100"/>
      <c r="F8" s="100"/>
      <c r="G8" s="100"/>
      <c r="H8" s="100"/>
      <c r="I8" s="101">
        <v>120</v>
      </c>
      <c r="J8" s="100"/>
      <c r="K8" s="100"/>
      <c r="L8" s="102" t="str">
        <f t="shared" si="0"/>
        <v/>
      </c>
      <c r="M8" s="103" t="str">
        <f t="shared" si="1"/>
        <v>Not started</v>
      </c>
      <c r="N8" s="100"/>
      <c r="O8" s="99"/>
      <c r="P8" s="106"/>
    </row>
    <row r="9" spans="1:16" ht="21" customHeight="1" x14ac:dyDescent="0.25">
      <c r="A9" s="98" t="s">
        <v>477</v>
      </c>
      <c r="B9" s="31" t="s">
        <v>231</v>
      </c>
      <c r="C9" s="99"/>
      <c r="D9" s="100"/>
      <c r="E9" s="100"/>
      <c r="F9" s="100"/>
      <c r="G9" s="100"/>
      <c r="H9" s="100"/>
      <c r="I9" s="101">
        <v>120</v>
      </c>
      <c r="J9" s="100"/>
      <c r="K9" s="100"/>
      <c r="L9" s="102" t="str">
        <f t="shared" si="0"/>
        <v/>
      </c>
      <c r="M9" s="103" t="str">
        <f t="shared" si="1"/>
        <v>Not started</v>
      </c>
      <c r="N9" s="100"/>
      <c r="O9" s="99"/>
      <c r="P9" s="106"/>
    </row>
    <row r="10" spans="1:16" ht="21" customHeight="1" x14ac:dyDescent="0.25">
      <c r="A10" s="98" t="s">
        <v>478</v>
      </c>
      <c r="B10" s="31" t="s">
        <v>479</v>
      </c>
      <c r="C10" s="99"/>
      <c r="D10" s="100"/>
      <c r="E10" s="100"/>
      <c r="F10" s="100"/>
      <c r="G10" s="100"/>
      <c r="H10" s="100"/>
      <c r="I10" s="101">
        <v>600</v>
      </c>
      <c r="J10" s="100"/>
      <c r="K10" s="100"/>
      <c r="L10" s="102" t="str">
        <f t="shared" si="0"/>
        <v/>
      </c>
      <c r="M10" s="103" t="str">
        <f t="shared" si="1"/>
        <v>Not started</v>
      </c>
      <c r="N10" s="100"/>
      <c r="O10" s="99"/>
      <c r="P10" s="32" t="s">
        <v>480</v>
      </c>
    </row>
    <row r="11" spans="1:16" ht="21" customHeight="1" x14ac:dyDescent="0.25">
      <c r="A11" s="98" t="s">
        <v>481</v>
      </c>
      <c r="B11" s="31" t="s">
        <v>479</v>
      </c>
      <c r="C11" s="99"/>
      <c r="D11" s="100"/>
      <c r="E11" s="100"/>
      <c r="F11" s="100"/>
      <c r="G11" s="100"/>
      <c r="H11" s="100"/>
      <c r="I11" s="101">
        <v>600</v>
      </c>
      <c r="J11" s="100"/>
      <c r="K11" s="100"/>
      <c r="L11" s="102" t="str">
        <f t="shared" si="0"/>
        <v/>
      </c>
      <c r="M11" s="103" t="str">
        <f t="shared" si="1"/>
        <v>Not started</v>
      </c>
      <c r="N11" s="100"/>
      <c r="O11" s="99"/>
      <c r="P11" s="106"/>
    </row>
    <row r="12" spans="1:16" ht="21" customHeight="1" x14ac:dyDescent="0.25">
      <c r="A12" s="98" t="s">
        <v>482</v>
      </c>
      <c r="B12" s="31" t="s">
        <v>479</v>
      </c>
      <c r="C12" s="99"/>
      <c r="D12" s="100"/>
      <c r="E12" s="100"/>
      <c r="F12" s="100"/>
      <c r="G12" s="100"/>
      <c r="H12" s="100"/>
      <c r="I12" s="101">
        <v>600</v>
      </c>
      <c r="J12" s="100"/>
      <c r="K12" s="100"/>
      <c r="L12" s="102" t="str">
        <f t="shared" si="0"/>
        <v/>
      </c>
      <c r="M12" s="103" t="str">
        <f t="shared" si="1"/>
        <v>Not started</v>
      </c>
      <c r="N12" s="100"/>
      <c r="O12" s="99"/>
      <c r="P12" s="106"/>
    </row>
    <row r="13" spans="1:16" ht="21" customHeight="1" x14ac:dyDescent="0.25">
      <c r="A13" s="98" t="s">
        <v>483</v>
      </c>
      <c r="B13" s="31" t="s">
        <v>484</v>
      </c>
      <c r="C13" s="99"/>
      <c r="D13" s="100"/>
      <c r="E13" s="100"/>
      <c r="F13" s="100"/>
      <c r="G13" s="100"/>
      <c r="H13" s="100"/>
      <c r="I13" s="101">
        <v>300</v>
      </c>
      <c r="J13" s="100"/>
      <c r="K13" s="100"/>
      <c r="L13" s="102" t="str">
        <f t="shared" si="0"/>
        <v/>
      </c>
      <c r="M13" s="103" t="str">
        <f t="shared" si="1"/>
        <v>Not started</v>
      </c>
      <c r="N13" s="100"/>
      <c r="O13" s="99"/>
      <c r="P13" s="32" t="s">
        <v>485</v>
      </c>
    </row>
    <row r="14" spans="1:16" ht="21" customHeight="1" x14ac:dyDescent="0.25">
      <c r="A14" s="98" t="s">
        <v>486</v>
      </c>
      <c r="B14" s="31" t="s">
        <v>484</v>
      </c>
      <c r="C14" s="99"/>
      <c r="D14" s="100"/>
      <c r="E14" s="100"/>
      <c r="F14" s="100"/>
      <c r="G14" s="100"/>
      <c r="H14" s="100"/>
      <c r="I14" s="101">
        <v>300</v>
      </c>
      <c r="J14" s="100"/>
      <c r="K14" s="100"/>
      <c r="L14" s="102" t="str">
        <f t="shared" si="0"/>
        <v/>
      </c>
      <c r="M14" s="103" t="str">
        <f t="shared" si="1"/>
        <v>Not started</v>
      </c>
      <c r="N14" s="100"/>
      <c r="O14" s="99"/>
      <c r="P14" s="106"/>
    </row>
    <row r="15" spans="1:16" ht="21" customHeight="1" x14ac:dyDescent="0.25">
      <c r="A15" s="98" t="s">
        <v>487</v>
      </c>
      <c r="B15" s="31" t="s">
        <v>484</v>
      </c>
      <c r="C15" s="99"/>
      <c r="D15" s="100"/>
      <c r="E15" s="100"/>
      <c r="F15" s="100"/>
      <c r="G15" s="100"/>
      <c r="H15" s="100"/>
      <c r="I15" s="101">
        <v>300</v>
      </c>
      <c r="J15" s="100"/>
      <c r="K15" s="100"/>
      <c r="L15" s="102" t="str">
        <f t="shared" si="0"/>
        <v/>
      </c>
      <c r="M15" s="103" t="str">
        <f t="shared" si="1"/>
        <v>Not started</v>
      </c>
      <c r="N15" s="100"/>
      <c r="O15" s="99"/>
      <c r="P15" s="106"/>
    </row>
    <row r="17" spans="1:9" ht="33.950000000000003" customHeight="1" x14ac:dyDescent="0.25">
      <c r="A17" s="125" t="s">
        <v>488</v>
      </c>
      <c r="B17" s="122"/>
      <c r="C17" s="122"/>
      <c r="D17" s="122"/>
      <c r="E17" s="122"/>
      <c r="F17" s="122"/>
      <c r="G17" s="122"/>
      <c r="H17" s="122"/>
      <c r="I17" s="122"/>
    </row>
  </sheetData>
  <autoFilter ref="A3:P15" xr:uid="{00000000-0009-0000-0000-00000B000000}"/>
  <mergeCells count="1">
    <mergeCell ref="A17:I17"/>
  </mergeCells>
  <conditionalFormatting sqref="M4:M15">
    <cfRule type="cellIs" dxfId="8" priority="1" operator="equal">
      <formula>"Pass"</formula>
    </cfRule>
    <cfRule type="cellIs" dxfId="7" priority="2" operator="equal">
      <formula>"Fail"</formula>
    </cfRule>
    <cfRule type="cellIs" dxfId="6" priority="3" operator="equal">
      <formula>"Blocked"</formula>
    </cfRule>
  </conditionalFormatting>
  <hyperlinks>
    <hyperlink ref="A1" location="'Contents'!A1" display="‹ Contents" xr:uid="{00000000-0004-0000-0B00-000000000000}"/>
  </hyperlink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A5A12"/>
    <pageSetUpPr fitToPage="1"/>
  </sheetPr>
  <dimension ref="A1:M23"/>
  <sheetViews>
    <sheetView showGridLines="0" workbookViewId="0">
      <pane ySplit="3" topLeftCell="A4" activePane="bottomLeft" state="frozen"/>
      <selection pane="bottomLeft" activeCell="A2" sqref="A2:XFD2"/>
    </sheetView>
  </sheetViews>
  <sheetFormatPr defaultRowHeight="15" x14ac:dyDescent="0.25"/>
  <cols>
    <col min="1" max="1" width="9" customWidth="1"/>
    <col min="2" max="2" width="25" customWidth="1"/>
    <col min="3" max="3" width="38" customWidth="1"/>
    <col min="4" max="4" width="9" customWidth="1"/>
    <col min="5" max="6" width="13" customWidth="1"/>
    <col min="7" max="7" width="12" customWidth="1"/>
    <col min="8" max="8" width="11" customWidth="1"/>
    <col min="9" max="9" width="12" customWidth="1"/>
    <col min="10" max="10" width="13" customWidth="1"/>
    <col min="11" max="12" width="12" customWidth="1"/>
    <col min="13" max="13" width="24" customWidth="1"/>
  </cols>
  <sheetData>
    <row r="1" spans="1:13" x14ac:dyDescent="0.25">
      <c r="A1" s="16" t="s">
        <v>53</v>
      </c>
    </row>
    <row r="3" spans="1:13" ht="32.1" customHeight="1" x14ac:dyDescent="0.25">
      <c r="A3" s="29" t="s">
        <v>255</v>
      </c>
      <c r="B3" s="29" t="s">
        <v>80</v>
      </c>
      <c r="C3" s="29" t="s">
        <v>81</v>
      </c>
      <c r="D3" s="29" t="s">
        <v>489</v>
      </c>
      <c r="E3" s="29" t="s">
        <v>490</v>
      </c>
      <c r="F3" s="29" t="s">
        <v>491</v>
      </c>
      <c r="G3" s="29" t="s">
        <v>492</v>
      </c>
      <c r="H3" s="29" t="s">
        <v>493</v>
      </c>
      <c r="I3" s="29" t="s">
        <v>192</v>
      </c>
      <c r="J3" s="29" t="s">
        <v>494</v>
      </c>
      <c r="K3" s="29" t="s">
        <v>495</v>
      </c>
      <c r="L3" s="29" t="s">
        <v>261</v>
      </c>
      <c r="M3" s="29" t="s">
        <v>440</v>
      </c>
    </row>
    <row r="4" spans="1:13" ht="21" customHeight="1" x14ac:dyDescent="0.25">
      <c r="A4" s="98" t="s">
        <v>496</v>
      </c>
      <c r="B4" s="31" t="s">
        <v>89</v>
      </c>
      <c r="C4" s="32" t="s">
        <v>90</v>
      </c>
      <c r="D4" s="100"/>
      <c r="E4" s="100"/>
      <c r="F4" s="100"/>
      <c r="G4" s="104" t="str">
        <f t="shared" ref="G4:G20" si="0">IF(COUNT(E4:F4)=0,"",E4+F4)</f>
        <v/>
      </c>
      <c r="H4" s="101">
        <v>4000</v>
      </c>
      <c r="I4" s="103" t="str">
        <f t="shared" ref="I4:I20" si="1">IF(G4="","Not started",IF(G4&lt;=H4,"Pass","Fail"))</f>
        <v>Not started</v>
      </c>
      <c r="J4" s="107" t="str">
        <f t="shared" ref="J4:J20" si="2">IF(G4="","",G4/1000*0.129)</f>
        <v/>
      </c>
      <c r="K4" s="100"/>
      <c r="L4" s="100"/>
      <c r="M4" s="105"/>
    </row>
    <row r="5" spans="1:13" ht="21" customHeight="1" x14ac:dyDescent="0.25">
      <c r="A5" s="98" t="s">
        <v>497</v>
      </c>
      <c r="B5" s="31" t="s">
        <v>94</v>
      </c>
      <c r="C5" s="32" t="s">
        <v>95</v>
      </c>
      <c r="D5" s="100"/>
      <c r="E5" s="100"/>
      <c r="F5" s="100"/>
      <c r="G5" s="104" t="str">
        <f t="shared" si="0"/>
        <v/>
      </c>
      <c r="H5" s="101">
        <v>8000</v>
      </c>
      <c r="I5" s="103" t="str">
        <f t="shared" si="1"/>
        <v>Not started</v>
      </c>
      <c r="J5" s="107" t="str">
        <f t="shared" si="2"/>
        <v/>
      </c>
      <c r="K5" s="100"/>
      <c r="L5" s="100"/>
      <c r="M5" s="105"/>
    </row>
    <row r="6" spans="1:13" ht="21" customHeight="1" x14ac:dyDescent="0.25">
      <c r="A6" s="98" t="s">
        <v>498</v>
      </c>
      <c r="B6" s="31" t="s">
        <v>100</v>
      </c>
      <c r="C6" s="32" t="s">
        <v>101</v>
      </c>
      <c r="D6" s="100"/>
      <c r="E6" s="100"/>
      <c r="F6" s="100"/>
      <c r="G6" s="104" t="str">
        <f t="shared" si="0"/>
        <v/>
      </c>
      <c r="H6" s="101">
        <v>3000</v>
      </c>
      <c r="I6" s="103" t="str">
        <f t="shared" si="1"/>
        <v>Not started</v>
      </c>
      <c r="J6" s="107" t="str">
        <f t="shared" si="2"/>
        <v/>
      </c>
      <c r="K6" s="100"/>
      <c r="L6" s="100"/>
      <c r="M6" s="105"/>
    </row>
    <row r="7" spans="1:13" ht="21" customHeight="1" x14ac:dyDescent="0.25">
      <c r="A7" s="98" t="s">
        <v>499</v>
      </c>
      <c r="B7" s="31" t="s">
        <v>104</v>
      </c>
      <c r="C7" s="32" t="s">
        <v>105</v>
      </c>
      <c r="D7" s="100"/>
      <c r="E7" s="100"/>
      <c r="F7" s="100"/>
      <c r="G7" s="104" t="str">
        <f t="shared" si="0"/>
        <v/>
      </c>
      <c r="H7" s="101">
        <v>8000</v>
      </c>
      <c r="I7" s="103" t="str">
        <f t="shared" si="1"/>
        <v>Not started</v>
      </c>
      <c r="J7" s="107" t="str">
        <f t="shared" si="2"/>
        <v/>
      </c>
      <c r="K7" s="100"/>
      <c r="L7" s="100"/>
      <c r="M7" s="105"/>
    </row>
    <row r="8" spans="1:13" ht="21" customHeight="1" x14ac:dyDescent="0.25">
      <c r="A8" s="98" t="s">
        <v>500</v>
      </c>
      <c r="B8" s="31" t="s">
        <v>107</v>
      </c>
      <c r="C8" s="32" t="s">
        <v>108</v>
      </c>
      <c r="D8" s="100"/>
      <c r="E8" s="100"/>
      <c r="F8" s="100"/>
      <c r="G8" s="104" t="str">
        <f t="shared" si="0"/>
        <v/>
      </c>
      <c r="H8" s="101">
        <v>3000</v>
      </c>
      <c r="I8" s="103" t="str">
        <f t="shared" si="1"/>
        <v>Not started</v>
      </c>
      <c r="J8" s="107" t="str">
        <f t="shared" si="2"/>
        <v/>
      </c>
      <c r="K8" s="100"/>
      <c r="L8" s="100"/>
      <c r="M8" s="105"/>
    </row>
    <row r="9" spans="1:13" ht="21" customHeight="1" x14ac:dyDescent="0.25">
      <c r="A9" s="98" t="s">
        <v>501</v>
      </c>
      <c r="B9" s="31" t="s">
        <v>110</v>
      </c>
      <c r="C9" s="32" t="s">
        <v>111</v>
      </c>
      <c r="D9" s="100"/>
      <c r="E9" s="100"/>
      <c r="F9" s="100"/>
      <c r="G9" s="104" t="str">
        <f t="shared" si="0"/>
        <v/>
      </c>
      <c r="H9" s="101">
        <v>12000</v>
      </c>
      <c r="I9" s="103" t="str">
        <f t="shared" si="1"/>
        <v>Not started</v>
      </c>
      <c r="J9" s="107" t="str">
        <f t="shared" si="2"/>
        <v/>
      </c>
      <c r="K9" s="100"/>
      <c r="L9" s="100"/>
      <c r="M9" s="105"/>
    </row>
    <row r="10" spans="1:13" ht="21" customHeight="1" x14ac:dyDescent="0.25">
      <c r="A10" s="98" t="s">
        <v>502</v>
      </c>
      <c r="B10" s="31" t="s">
        <v>112</v>
      </c>
      <c r="C10" s="32" t="s">
        <v>113</v>
      </c>
      <c r="D10" s="100"/>
      <c r="E10" s="100"/>
      <c r="F10" s="100"/>
      <c r="G10" s="104" t="str">
        <f t="shared" si="0"/>
        <v/>
      </c>
      <c r="H10" s="101">
        <v>6000</v>
      </c>
      <c r="I10" s="103" t="str">
        <f t="shared" si="1"/>
        <v>Not started</v>
      </c>
      <c r="J10" s="107" t="str">
        <f t="shared" si="2"/>
        <v/>
      </c>
      <c r="K10" s="100"/>
      <c r="L10" s="100"/>
      <c r="M10" s="105"/>
    </row>
    <row r="11" spans="1:13" ht="21" customHeight="1" x14ac:dyDescent="0.25">
      <c r="A11" s="98" t="s">
        <v>503</v>
      </c>
      <c r="B11" s="31" t="s">
        <v>115</v>
      </c>
      <c r="C11" s="32" t="s">
        <v>116</v>
      </c>
      <c r="D11" s="100"/>
      <c r="E11" s="100"/>
      <c r="F11" s="100"/>
      <c r="G11" s="104" t="str">
        <f t="shared" si="0"/>
        <v/>
      </c>
      <c r="H11" s="101">
        <v>4000</v>
      </c>
      <c r="I11" s="103" t="str">
        <f t="shared" si="1"/>
        <v>Not started</v>
      </c>
      <c r="J11" s="107" t="str">
        <f t="shared" si="2"/>
        <v/>
      </c>
      <c r="K11" s="100"/>
      <c r="L11" s="100"/>
      <c r="M11" s="105"/>
    </row>
    <row r="12" spans="1:13" ht="21" customHeight="1" x14ac:dyDescent="0.25">
      <c r="A12" s="98" t="s">
        <v>504</v>
      </c>
      <c r="B12" s="31" t="s">
        <v>119</v>
      </c>
      <c r="C12" s="32" t="s">
        <v>120</v>
      </c>
      <c r="D12" s="100"/>
      <c r="E12" s="100"/>
      <c r="F12" s="100"/>
      <c r="G12" s="104" t="str">
        <f t="shared" si="0"/>
        <v/>
      </c>
      <c r="H12" s="101">
        <v>6000</v>
      </c>
      <c r="I12" s="103" t="str">
        <f t="shared" si="1"/>
        <v>Not started</v>
      </c>
      <c r="J12" s="107" t="str">
        <f t="shared" si="2"/>
        <v/>
      </c>
      <c r="K12" s="100"/>
      <c r="L12" s="100"/>
      <c r="M12" s="105"/>
    </row>
    <row r="13" spans="1:13" ht="21" customHeight="1" x14ac:dyDescent="0.25">
      <c r="A13" s="98" t="s">
        <v>505</v>
      </c>
      <c r="B13" s="31" t="s">
        <v>121</v>
      </c>
      <c r="C13" s="32" t="s">
        <v>122</v>
      </c>
      <c r="D13" s="100"/>
      <c r="E13" s="100"/>
      <c r="F13" s="100"/>
      <c r="G13" s="104" t="str">
        <f t="shared" si="0"/>
        <v/>
      </c>
      <c r="H13" s="101">
        <v>4000</v>
      </c>
      <c r="I13" s="103" t="str">
        <f t="shared" si="1"/>
        <v>Not started</v>
      </c>
      <c r="J13" s="107" t="str">
        <f t="shared" si="2"/>
        <v/>
      </c>
      <c r="K13" s="100"/>
      <c r="L13" s="100"/>
      <c r="M13" s="105"/>
    </row>
    <row r="14" spans="1:13" ht="21" customHeight="1" x14ac:dyDescent="0.25">
      <c r="A14" s="98" t="s">
        <v>506</v>
      </c>
      <c r="B14" s="31" t="s">
        <v>124</v>
      </c>
      <c r="C14" s="32" t="s">
        <v>125</v>
      </c>
      <c r="D14" s="100"/>
      <c r="E14" s="100"/>
      <c r="F14" s="100"/>
      <c r="G14" s="104" t="str">
        <f t="shared" si="0"/>
        <v/>
      </c>
      <c r="H14" s="101">
        <v>6000</v>
      </c>
      <c r="I14" s="103" t="str">
        <f t="shared" si="1"/>
        <v>Not started</v>
      </c>
      <c r="J14" s="107" t="str">
        <f t="shared" si="2"/>
        <v/>
      </c>
      <c r="K14" s="100"/>
      <c r="L14" s="100"/>
      <c r="M14" s="105"/>
    </row>
    <row r="15" spans="1:13" ht="21" customHeight="1" x14ac:dyDescent="0.25">
      <c r="A15" s="98" t="s">
        <v>507</v>
      </c>
      <c r="B15" s="31" t="s">
        <v>128</v>
      </c>
      <c r="C15" s="32" t="s">
        <v>129</v>
      </c>
      <c r="D15" s="100"/>
      <c r="E15" s="100"/>
      <c r="F15" s="100"/>
      <c r="G15" s="104" t="str">
        <f t="shared" si="0"/>
        <v/>
      </c>
      <c r="H15" s="101">
        <v>4000</v>
      </c>
      <c r="I15" s="103" t="str">
        <f t="shared" si="1"/>
        <v>Not started</v>
      </c>
      <c r="J15" s="107" t="str">
        <f t="shared" si="2"/>
        <v/>
      </c>
      <c r="K15" s="100"/>
      <c r="L15" s="100"/>
      <c r="M15" s="105"/>
    </row>
    <row r="16" spans="1:13" ht="21" customHeight="1" x14ac:dyDescent="0.25">
      <c r="A16" s="98" t="s">
        <v>508</v>
      </c>
      <c r="B16" s="31" t="s">
        <v>132</v>
      </c>
      <c r="C16" s="32" t="s">
        <v>133</v>
      </c>
      <c r="D16" s="100"/>
      <c r="E16" s="100"/>
      <c r="F16" s="100"/>
      <c r="G16" s="104" t="str">
        <f t="shared" si="0"/>
        <v/>
      </c>
      <c r="H16" s="101">
        <v>10000</v>
      </c>
      <c r="I16" s="103" t="str">
        <f t="shared" si="1"/>
        <v>Not started</v>
      </c>
      <c r="J16" s="107" t="str">
        <f t="shared" si="2"/>
        <v/>
      </c>
      <c r="K16" s="100"/>
      <c r="L16" s="100"/>
      <c r="M16" s="105"/>
    </row>
    <row r="17" spans="1:13" ht="21" customHeight="1" x14ac:dyDescent="0.25">
      <c r="A17" s="98" t="s">
        <v>509</v>
      </c>
      <c r="B17" s="31" t="s">
        <v>134</v>
      </c>
      <c r="C17" s="32" t="s">
        <v>135</v>
      </c>
      <c r="D17" s="100"/>
      <c r="E17" s="100"/>
      <c r="F17" s="100"/>
      <c r="G17" s="104" t="str">
        <f t="shared" si="0"/>
        <v/>
      </c>
      <c r="H17" s="101">
        <v>10000</v>
      </c>
      <c r="I17" s="103" t="str">
        <f t="shared" si="1"/>
        <v>Not started</v>
      </c>
      <c r="J17" s="107" t="str">
        <f t="shared" si="2"/>
        <v/>
      </c>
      <c r="K17" s="100"/>
      <c r="L17" s="100"/>
      <c r="M17" s="105"/>
    </row>
    <row r="18" spans="1:13" ht="21" customHeight="1" x14ac:dyDescent="0.25">
      <c r="A18" s="98" t="s">
        <v>510</v>
      </c>
      <c r="B18" s="31" t="s">
        <v>137</v>
      </c>
      <c r="C18" s="32" t="s">
        <v>138</v>
      </c>
      <c r="D18" s="100"/>
      <c r="E18" s="100"/>
      <c r="F18" s="100"/>
      <c r="G18" s="104" t="str">
        <f t="shared" si="0"/>
        <v/>
      </c>
      <c r="H18" s="101">
        <v>3000</v>
      </c>
      <c r="I18" s="103" t="str">
        <f t="shared" si="1"/>
        <v>Not started</v>
      </c>
      <c r="J18" s="107" t="str">
        <f t="shared" si="2"/>
        <v/>
      </c>
      <c r="K18" s="100"/>
      <c r="L18" s="100"/>
      <c r="M18" s="105"/>
    </row>
    <row r="19" spans="1:13" ht="21" customHeight="1" x14ac:dyDescent="0.25">
      <c r="A19" s="98" t="s">
        <v>511</v>
      </c>
      <c r="B19" s="31" t="s">
        <v>139</v>
      </c>
      <c r="C19" s="32" t="s">
        <v>140</v>
      </c>
      <c r="D19" s="100"/>
      <c r="E19" s="100"/>
      <c r="F19" s="100"/>
      <c r="G19" s="104" t="str">
        <f t="shared" si="0"/>
        <v/>
      </c>
      <c r="H19" s="101">
        <v>3000</v>
      </c>
      <c r="I19" s="103" t="str">
        <f t="shared" si="1"/>
        <v>Not started</v>
      </c>
      <c r="J19" s="107" t="str">
        <f t="shared" si="2"/>
        <v/>
      </c>
      <c r="K19" s="100"/>
      <c r="L19" s="100"/>
      <c r="M19" s="105"/>
    </row>
    <row r="20" spans="1:13" ht="21" customHeight="1" x14ac:dyDescent="0.25">
      <c r="A20" s="98" t="s">
        <v>512</v>
      </c>
      <c r="B20" s="31" t="s">
        <v>141</v>
      </c>
      <c r="C20" s="32" t="s">
        <v>142</v>
      </c>
      <c r="D20" s="100"/>
      <c r="E20" s="100"/>
      <c r="F20" s="100"/>
      <c r="G20" s="104" t="str">
        <f t="shared" si="0"/>
        <v/>
      </c>
      <c r="H20" s="101">
        <v>3000</v>
      </c>
      <c r="I20" s="103" t="str">
        <f t="shared" si="1"/>
        <v>Not started</v>
      </c>
      <c r="J20" s="107" t="str">
        <f t="shared" si="2"/>
        <v/>
      </c>
      <c r="K20" s="100"/>
      <c r="L20" s="100"/>
      <c r="M20" s="105"/>
    </row>
    <row r="21" spans="1:13" x14ac:dyDescent="0.25">
      <c r="A21" s="86"/>
      <c r="B21" s="84" t="s">
        <v>513</v>
      </c>
      <c r="C21" s="86"/>
      <c r="D21" s="86"/>
      <c r="E21" s="86"/>
      <c r="F21" s="86"/>
      <c r="G21" s="108">
        <f>SUM(G4:G20)</f>
        <v>0</v>
      </c>
      <c r="H21" s="108">
        <f>SUM(H4:H20)</f>
        <v>97000</v>
      </c>
      <c r="I21" s="86"/>
      <c r="J21" s="109">
        <f>SUM(J4:J20)</f>
        <v>0</v>
      </c>
      <c r="K21" s="86"/>
      <c r="L21" s="86"/>
      <c r="M21" s="86"/>
    </row>
    <row r="23" spans="1:13" ht="32.1" customHeight="1" x14ac:dyDescent="0.25">
      <c r="A23" s="125" t="s">
        <v>514</v>
      </c>
      <c r="B23" s="122"/>
      <c r="C23" s="122"/>
      <c r="D23" s="122"/>
      <c r="E23" s="122"/>
      <c r="F23" s="122"/>
      <c r="G23" s="122"/>
      <c r="H23" s="122"/>
    </row>
  </sheetData>
  <mergeCells count="1">
    <mergeCell ref="A23:H23"/>
  </mergeCells>
  <conditionalFormatting sqref="I4:I20">
    <cfRule type="cellIs" dxfId="5" priority="1" operator="equal">
      <formula>"Pass"</formula>
    </cfRule>
    <cfRule type="cellIs" dxfId="4" priority="2" operator="equal">
      <formula>"Fail"</formula>
    </cfRule>
    <cfRule type="cellIs" dxfId="3" priority="3" operator="equal">
      <formula>"Blocked"</formula>
    </cfRule>
  </conditionalFormatting>
  <hyperlinks>
    <hyperlink ref="A1" location="'Contents'!A1" display="‹ Contents" xr:uid="{00000000-0004-0000-0C00-000000000000}"/>
  </hyperlink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A5A12"/>
    <pageSetUpPr fitToPage="1"/>
  </sheetPr>
  <dimension ref="A1:N23"/>
  <sheetViews>
    <sheetView showGridLines="0" workbookViewId="0">
      <pane ySplit="3" topLeftCell="A4" activePane="bottomLeft" state="frozen"/>
      <selection pane="bottomLeft" activeCell="A2" sqref="A2:XFD2"/>
    </sheetView>
  </sheetViews>
  <sheetFormatPr defaultRowHeight="15" x14ac:dyDescent="0.25"/>
  <cols>
    <col min="1" max="1" width="9" customWidth="1"/>
    <col min="2" max="2" width="25" customWidth="1"/>
    <col min="3" max="3" width="30" customWidth="1"/>
    <col min="4" max="4" width="11" customWidth="1"/>
    <col min="5" max="8" width="10" customWidth="1"/>
    <col min="9" max="10" width="11" customWidth="1"/>
    <col min="11" max="11" width="10" customWidth="1"/>
    <col min="12" max="12" width="13" customWidth="1"/>
    <col min="13" max="13" width="12" customWidth="1"/>
    <col min="14" max="14" width="24" customWidth="1"/>
  </cols>
  <sheetData>
    <row r="1" spans="1:14" x14ac:dyDescent="0.25">
      <c r="A1" s="16" t="s">
        <v>53</v>
      </c>
    </row>
    <row r="3" spans="1:14" ht="32.1" customHeight="1" x14ac:dyDescent="0.25">
      <c r="A3" s="29" t="s">
        <v>255</v>
      </c>
      <c r="B3" s="29" t="s">
        <v>515</v>
      </c>
      <c r="C3" s="29" t="s">
        <v>516</v>
      </c>
      <c r="D3" s="29" t="s">
        <v>517</v>
      </c>
      <c r="E3" s="29" t="s">
        <v>518</v>
      </c>
      <c r="F3" s="29" t="s">
        <v>519</v>
      </c>
      <c r="G3" s="29" t="s">
        <v>520</v>
      </c>
      <c r="H3" s="29" t="s">
        <v>521</v>
      </c>
      <c r="I3" s="29" t="s">
        <v>522</v>
      </c>
      <c r="J3" s="29" t="s">
        <v>523</v>
      </c>
      <c r="K3" s="29" t="s">
        <v>524</v>
      </c>
      <c r="L3" s="29" t="s">
        <v>525</v>
      </c>
      <c r="M3" s="29" t="s">
        <v>192</v>
      </c>
      <c r="N3" s="29" t="s">
        <v>440</v>
      </c>
    </row>
    <row r="4" spans="1:14" ht="21.95" customHeight="1" x14ac:dyDescent="0.25">
      <c r="A4" s="98" t="s">
        <v>526</v>
      </c>
      <c r="B4" s="31" t="s">
        <v>527</v>
      </c>
      <c r="C4" s="110" t="s">
        <v>528</v>
      </c>
      <c r="D4" s="100"/>
      <c r="E4" s="100"/>
      <c r="F4" s="100"/>
      <c r="G4" s="100"/>
      <c r="H4" s="100"/>
      <c r="I4" s="111" t="str">
        <f t="shared" ref="I4:I13" si="0">IF(E4=0,"",F4/E4)</f>
        <v/>
      </c>
      <c r="J4" s="111" t="str">
        <f t="shared" ref="J4:J13" si="1">IF(D4=0,"",F4/D4)</f>
        <v/>
      </c>
      <c r="K4" s="111" t="e">
        <f t="shared" ref="K4:K13" si="2">IF(OR(I4="",J4="",I4+J4=0),"",2*I4*J4/(I4+J4))</f>
        <v>#VALUE!</v>
      </c>
      <c r="L4" s="112">
        <v>0.9</v>
      </c>
      <c r="M4" s="103" t="str">
        <f t="shared" ref="M4:M13" si="3">IF(J4="","Not started",IF(J4&gt;=L4,"Pass","Fail"))</f>
        <v>Not started</v>
      </c>
      <c r="N4" s="105"/>
    </row>
    <row r="5" spans="1:14" ht="21.95" customHeight="1" x14ac:dyDescent="0.25">
      <c r="A5" s="98" t="s">
        <v>529</v>
      </c>
      <c r="B5" s="31" t="s">
        <v>530</v>
      </c>
      <c r="C5" s="110" t="s">
        <v>531</v>
      </c>
      <c r="D5" s="100"/>
      <c r="E5" s="100"/>
      <c r="F5" s="100"/>
      <c r="G5" s="100"/>
      <c r="H5" s="100"/>
      <c r="I5" s="111" t="str">
        <f t="shared" si="0"/>
        <v/>
      </c>
      <c r="J5" s="111" t="str">
        <f t="shared" si="1"/>
        <v/>
      </c>
      <c r="K5" s="111" t="e">
        <f t="shared" si="2"/>
        <v>#VALUE!</v>
      </c>
      <c r="L5" s="112">
        <v>0.95</v>
      </c>
      <c r="M5" s="103" t="str">
        <f t="shared" si="3"/>
        <v>Not started</v>
      </c>
      <c r="N5" s="105"/>
    </row>
    <row r="6" spans="1:14" ht="21.95" customHeight="1" x14ac:dyDescent="0.25">
      <c r="A6" s="98" t="s">
        <v>532</v>
      </c>
      <c r="B6" s="31" t="s">
        <v>172</v>
      </c>
      <c r="C6" s="110" t="s">
        <v>533</v>
      </c>
      <c r="D6" s="100"/>
      <c r="E6" s="100"/>
      <c r="F6" s="100"/>
      <c r="G6" s="100"/>
      <c r="H6" s="100"/>
      <c r="I6" s="111" t="str">
        <f t="shared" si="0"/>
        <v/>
      </c>
      <c r="J6" s="111" t="str">
        <f t="shared" si="1"/>
        <v/>
      </c>
      <c r="K6" s="111" t="e">
        <f t="shared" si="2"/>
        <v>#VALUE!</v>
      </c>
      <c r="L6" s="112">
        <v>0.9</v>
      </c>
      <c r="M6" s="103" t="str">
        <f t="shared" si="3"/>
        <v>Not started</v>
      </c>
      <c r="N6" s="105"/>
    </row>
    <row r="7" spans="1:14" ht="21.95" customHeight="1" x14ac:dyDescent="0.25">
      <c r="A7" s="98" t="s">
        <v>534</v>
      </c>
      <c r="B7" s="31" t="s">
        <v>535</v>
      </c>
      <c r="C7" s="110" t="s">
        <v>536</v>
      </c>
      <c r="D7" s="100"/>
      <c r="E7" s="100"/>
      <c r="F7" s="100"/>
      <c r="G7" s="100"/>
      <c r="H7" s="100"/>
      <c r="I7" s="111" t="str">
        <f t="shared" si="0"/>
        <v/>
      </c>
      <c r="J7" s="111" t="str">
        <f t="shared" si="1"/>
        <v/>
      </c>
      <c r="K7" s="111" t="e">
        <f t="shared" si="2"/>
        <v>#VALUE!</v>
      </c>
      <c r="L7" s="112">
        <v>0.95</v>
      </c>
      <c r="M7" s="103" t="str">
        <f t="shared" si="3"/>
        <v>Not started</v>
      </c>
      <c r="N7" s="105"/>
    </row>
    <row r="8" spans="1:14" ht="21.95" customHeight="1" x14ac:dyDescent="0.25">
      <c r="A8" s="98" t="s">
        <v>537</v>
      </c>
      <c r="B8" s="31" t="s">
        <v>538</v>
      </c>
      <c r="C8" s="110" t="s">
        <v>539</v>
      </c>
      <c r="D8" s="100"/>
      <c r="E8" s="100"/>
      <c r="F8" s="100"/>
      <c r="G8" s="100"/>
      <c r="H8" s="100"/>
      <c r="I8" s="111" t="str">
        <f t="shared" si="0"/>
        <v/>
      </c>
      <c r="J8" s="111" t="str">
        <f t="shared" si="1"/>
        <v/>
      </c>
      <c r="K8" s="111" t="e">
        <f t="shared" si="2"/>
        <v>#VALUE!</v>
      </c>
      <c r="L8" s="112">
        <v>0.95</v>
      </c>
      <c r="M8" s="103" t="str">
        <f t="shared" si="3"/>
        <v>Not started</v>
      </c>
      <c r="N8" s="105"/>
    </row>
    <row r="9" spans="1:14" ht="21.95" customHeight="1" x14ac:dyDescent="0.25">
      <c r="A9" s="98" t="s">
        <v>540</v>
      </c>
      <c r="B9" s="31" t="s">
        <v>171</v>
      </c>
      <c r="C9" s="110" t="s">
        <v>541</v>
      </c>
      <c r="D9" s="100"/>
      <c r="E9" s="100"/>
      <c r="F9" s="100"/>
      <c r="G9" s="100"/>
      <c r="H9" s="100"/>
      <c r="I9" s="111" t="str">
        <f t="shared" si="0"/>
        <v/>
      </c>
      <c r="J9" s="111" t="str">
        <f t="shared" si="1"/>
        <v/>
      </c>
      <c r="K9" s="111" t="e">
        <f t="shared" si="2"/>
        <v>#VALUE!</v>
      </c>
      <c r="L9" s="112">
        <v>0.9</v>
      </c>
      <c r="M9" s="103" t="str">
        <f t="shared" si="3"/>
        <v>Not started</v>
      </c>
      <c r="N9" s="105"/>
    </row>
    <row r="10" spans="1:14" ht="21.95" customHeight="1" x14ac:dyDescent="0.25">
      <c r="A10" s="98" t="s">
        <v>542</v>
      </c>
      <c r="B10" s="31" t="s">
        <v>543</v>
      </c>
      <c r="C10" s="110" t="s">
        <v>544</v>
      </c>
      <c r="D10" s="100"/>
      <c r="E10" s="100"/>
      <c r="F10" s="100"/>
      <c r="G10" s="100"/>
      <c r="H10" s="100"/>
      <c r="I10" s="111" t="str">
        <f t="shared" si="0"/>
        <v/>
      </c>
      <c r="J10" s="111" t="str">
        <f t="shared" si="1"/>
        <v/>
      </c>
      <c r="K10" s="111" t="e">
        <f t="shared" si="2"/>
        <v>#VALUE!</v>
      </c>
      <c r="L10" s="112">
        <v>0.85</v>
      </c>
      <c r="M10" s="103" t="str">
        <f t="shared" si="3"/>
        <v>Not started</v>
      </c>
      <c r="N10" s="105"/>
    </row>
    <row r="11" spans="1:14" ht="21.95" customHeight="1" x14ac:dyDescent="0.25">
      <c r="A11" s="98" t="s">
        <v>545</v>
      </c>
      <c r="B11" s="31" t="s">
        <v>546</v>
      </c>
      <c r="C11" s="110" t="s">
        <v>547</v>
      </c>
      <c r="D11" s="100"/>
      <c r="E11" s="100"/>
      <c r="F11" s="100"/>
      <c r="G11" s="100"/>
      <c r="H11" s="100"/>
      <c r="I11" s="111" t="str">
        <f t="shared" si="0"/>
        <v/>
      </c>
      <c r="J11" s="111" t="str">
        <f t="shared" si="1"/>
        <v/>
      </c>
      <c r="K11" s="111" t="e">
        <f t="shared" si="2"/>
        <v>#VALUE!</v>
      </c>
      <c r="L11" s="112">
        <v>0.9</v>
      </c>
      <c r="M11" s="103" t="str">
        <f t="shared" si="3"/>
        <v>Not started</v>
      </c>
      <c r="N11" s="105"/>
    </row>
    <row r="12" spans="1:14" ht="21.95" customHeight="1" x14ac:dyDescent="0.25">
      <c r="A12" s="98" t="s">
        <v>548</v>
      </c>
      <c r="B12" s="31" t="s">
        <v>173</v>
      </c>
      <c r="C12" s="110" t="s">
        <v>549</v>
      </c>
      <c r="D12" s="100"/>
      <c r="E12" s="100"/>
      <c r="F12" s="100"/>
      <c r="G12" s="100"/>
      <c r="H12" s="100"/>
      <c r="I12" s="111" t="str">
        <f t="shared" si="0"/>
        <v/>
      </c>
      <c r="J12" s="111" t="str">
        <f t="shared" si="1"/>
        <v/>
      </c>
      <c r="K12" s="111" t="e">
        <f t="shared" si="2"/>
        <v>#VALUE!</v>
      </c>
      <c r="L12" s="112">
        <v>0.8</v>
      </c>
      <c r="M12" s="103" t="str">
        <f t="shared" si="3"/>
        <v>Not started</v>
      </c>
      <c r="N12" s="105"/>
    </row>
    <row r="13" spans="1:14" ht="21.95" customHeight="1" x14ac:dyDescent="0.25">
      <c r="A13" s="98" t="s">
        <v>550</v>
      </c>
      <c r="B13" s="31" t="s">
        <v>551</v>
      </c>
      <c r="C13" s="110" t="s">
        <v>552</v>
      </c>
      <c r="D13" s="100"/>
      <c r="E13" s="100"/>
      <c r="F13" s="100"/>
      <c r="G13" s="100"/>
      <c r="H13" s="100"/>
      <c r="I13" s="111" t="str">
        <f t="shared" si="0"/>
        <v/>
      </c>
      <c r="J13" s="111" t="str">
        <f t="shared" si="1"/>
        <v/>
      </c>
      <c r="K13" s="111" t="e">
        <f t="shared" si="2"/>
        <v>#VALUE!</v>
      </c>
      <c r="L13" s="112">
        <v>0.75</v>
      </c>
      <c r="M13" s="103" t="str">
        <f t="shared" si="3"/>
        <v>Not started</v>
      </c>
      <c r="N13" s="105"/>
    </row>
    <row r="15" spans="1:14" ht="69" x14ac:dyDescent="0.25">
      <c r="A15" s="9" t="s">
        <v>553</v>
      </c>
    </row>
    <row r="16" spans="1:14" ht="17.100000000000001" customHeight="1" x14ac:dyDescent="0.25">
      <c r="B16" s="87" t="s">
        <v>517</v>
      </c>
      <c r="C16" s="126" t="s">
        <v>554</v>
      </c>
      <c r="D16" s="122"/>
      <c r="E16" s="122"/>
      <c r="F16" s="122"/>
      <c r="G16" s="122"/>
      <c r="H16" s="122"/>
    </row>
    <row r="17" spans="2:9" ht="17.100000000000001" customHeight="1" x14ac:dyDescent="0.25">
      <c r="B17" s="87" t="s">
        <v>518</v>
      </c>
      <c r="C17" s="126" t="s">
        <v>555</v>
      </c>
      <c r="D17" s="122"/>
      <c r="E17" s="122"/>
      <c r="F17" s="122"/>
      <c r="G17" s="122"/>
      <c r="H17" s="122"/>
    </row>
    <row r="18" spans="2:9" ht="17.100000000000001" customHeight="1" x14ac:dyDescent="0.25">
      <c r="B18" s="87" t="s">
        <v>519</v>
      </c>
      <c r="C18" s="126" t="s">
        <v>556</v>
      </c>
      <c r="D18" s="122"/>
      <c r="E18" s="122"/>
      <c r="F18" s="122"/>
      <c r="G18" s="122"/>
      <c r="H18" s="122"/>
    </row>
    <row r="19" spans="2:9" ht="17.100000000000001" customHeight="1" x14ac:dyDescent="0.25">
      <c r="B19" s="87" t="s">
        <v>522</v>
      </c>
      <c r="C19" s="126" t="s">
        <v>557</v>
      </c>
      <c r="D19" s="122"/>
      <c r="E19" s="122"/>
      <c r="F19" s="122"/>
      <c r="G19" s="122"/>
      <c r="H19" s="122"/>
    </row>
    <row r="20" spans="2:9" ht="17.100000000000001" customHeight="1" x14ac:dyDescent="0.25">
      <c r="B20" s="87" t="s">
        <v>523</v>
      </c>
      <c r="C20" s="126" t="s">
        <v>558</v>
      </c>
      <c r="D20" s="122"/>
      <c r="E20" s="122"/>
      <c r="F20" s="122"/>
      <c r="G20" s="122"/>
      <c r="H20" s="122"/>
    </row>
    <row r="21" spans="2:9" ht="17.100000000000001" customHeight="1" x14ac:dyDescent="0.25">
      <c r="B21" s="87" t="s">
        <v>524</v>
      </c>
      <c r="C21" s="126" t="s">
        <v>559</v>
      </c>
      <c r="D21" s="122"/>
      <c r="E21" s="122"/>
      <c r="F21" s="122"/>
      <c r="G21" s="122"/>
      <c r="H21" s="122"/>
    </row>
    <row r="23" spans="2:9" ht="26.1" customHeight="1" x14ac:dyDescent="0.25">
      <c r="B23" s="127" t="s">
        <v>560</v>
      </c>
      <c r="C23" s="122"/>
      <c r="D23" s="122"/>
      <c r="E23" s="122"/>
      <c r="F23" s="122"/>
      <c r="G23" s="122"/>
      <c r="H23" s="122"/>
      <c r="I23" s="122"/>
    </row>
  </sheetData>
  <mergeCells count="7">
    <mergeCell ref="C17:H17"/>
    <mergeCell ref="B23:I23"/>
    <mergeCell ref="C20:H20"/>
    <mergeCell ref="C21:H21"/>
    <mergeCell ref="C16:H16"/>
    <mergeCell ref="C18:H18"/>
    <mergeCell ref="C19:H19"/>
  </mergeCells>
  <conditionalFormatting sqref="M4:M13">
    <cfRule type="cellIs" dxfId="2" priority="1" operator="equal">
      <formula>"Pass"</formula>
    </cfRule>
    <cfRule type="cellIs" dxfId="1" priority="2" operator="equal">
      <formula>"Fail"</formula>
    </cfRule>
    <cfRule type="cellIs" dxfId="0" priority="3" operator="equal">
      <formula>"Blocked"</formula>
    </cfRule>
  </conditionalFormatting>
  <hyperlinks>
    <hyperlink ref="A1" location="'Contents'!A1" display="‹ Contents" xr:uid="{00000000-0004-0000-0D00-000000000000}"/>
  </hyperlink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A8F97"/>
    <pageSetUpPr fitToPage="1"/>
  </sheetPr>
  <dimension ref="A1:D18"/>
  <sheetViews>
    <sheetView showGridLines="0" workbookViewId="0">
      <selection activeCell="A2" sqref="A2:XFD2"/>
    </sheetView>
  </sheetViews>
  <sheetFormatPr defaultRowHeight="15" x14ac:dyDescent="0.25"/>
  <cols>
    <col min="1" max="1" width="34" customWidth="1"/>
    <col min="2" max="2" width="18" customWidth="1"/>
    <col min="3" max="3" width="20" customWidth="1"/>
    <col min="4" max="4" width="60" customWidth="1"/>
  </cols>
  <sheetData>
    <row r="1" spans="1:4" x14ac:dyDescent="0.25">
      <c r="A1" s="16" t="s">
        <v>53</v>
      </c>
    </row>
    <row r="3" spans="1:4" ht="32.1" customHeight="1" x14ac:dyDescent="0.25">
      <c r="A3" s="29" t="s">
        <v>561</v>
      </c>
      <c r="B3" s="29" t="s">
        <v>562</v>
      </c>
      <c r="C3" s="29" t="s">
        <v>563</v>
      </c>
      <c r="D3" s="29" t="s">
        <v>564</v>
      </c>
    </row>
    <row r="4" spans="1:4" ht="21.95" customHeight="1" x14ac:dyDescent="0.25">
      <c r="A4" s="31" t="s">
        <v>565</v>
      </c>
      <c r="B4" s="113" t="s">
        <v>123</v>
      </c>
      <c r="C4" s="114" t="s">
        <v>566</v>
      </c>
      <c r="D4" s="32" t="s">
        <v>567</v>
      </c>
    </row>
    <row r="5" spans="1:4" ht="21.95" customHeight="1" x14ac:dyDescent="0.25">
      <c r="A5" s="31" t="s">
        <v>568</v>
      </c>
      <c r="B5" s="113" t="s">
        <v>569</v>
      </c>
      <c r="C5" s="114" t="s">
        <v>570</v>
      </c>
      <c r="D5" s="32" t="s">
        <v>571</v>
      </c>
    </row>
    <row r="6" spans="1:4" ht="21.95" customHeight="1" x14ac:dyDescent="0.25">
      <c r="A6" s="31" t="s">
        <v>572</v>
      </c>
      <c r="B6" s="113" t="s">
        <v>573</v>
      </c>
      <c r="C6" s="114" t="s">
        <v>574</v>
      </c>
      <c r="D6" s="32" t="s">
        <v>571</v>
      </c>
    </row>
    <row r="7" spans="1:4" ht="21.95" customHeight="1" x14ac:dyDescent="0.25">
      <c r="A7" s="31" t="s">
        <v>575</v>
      </c>
      <c r="B7" s="113" t="s">
        <v>576</v>
      </c>
      <c r="C7" s="114" t="s">
        <v>577</v>
      </c>
      <c r="D7" s="32" t="s">
        <v>578</v>
      </c>
    </row>
    <row r="8" spans="1:4" ht="21.95" customHeight="1" x14ac:dyDescent="0.25">
      <c r="A8" s="31" t="s">
        <v>579</v>
      </c>
      <c r="B8" s="113" t="s">
        <v>580</v>
      </c>
      <c r="C8" s="115" t="s">
        <v>581</v>
      </c>
      <c r="D8" s="32" t="s">
        <v>582</v>
      </c>
    </row>
    <row r="9" spans="1:4" ht="21.95" customHeight="1" x14ac:dyDescent="0.25">
      <c r="A9" s="31" t="s">
        <v>583</v>
      </c>
      <c r="B9" s="113" t="s">
        <v>569</v>
      </c>
      <c r="C9" s="115" t="s">
        <v>584</v>
      </c>
      <c r="D9" s="32" t="s">
        <v>585</v>
      </c>
    </row>
    <row r="10" spans="1:4" ht="21.95" customHeight="1" x14ac:dyDescent="0.25">
      <c r="A10" s="31" t="s">
        <v>586</v>
      </c>
      <c r="B10" s="113" t="s">
        <v>587</v>
      </c>
      <c r="C10" s="115" t="s">
        <v>584</v>
      </c>
      <c r="D10" s="32" t="s">
        <v>585</v>
      </c>
    </row>
    <row r="11" spans="1:4" ht="21.95" customHeight="1" x14ac:dyDescent="0.25">
      <c r="A11" s="31" t="s">
        <v>588</v>
      </c>
      <c r="B11" s="113" t="s">
        <v>580</v>
      </c>
      <c r="C11" s="115" t="s">
        <v>584</v>
      </c>
      <c r="D11" s="32" t="s">
        <v>585</v>
      </c>
    </row>
    <row r="12" spans="1:4" ht="21.95" customHeight="1" x14ac:dyDescent="0.25">
      <c r="A12" s="31" t="s">
        <v>589</v>
      </c>
      <c r="B12" s="113" t="s">
        <v>590</v>
      </c>
      <c r="C12" s="114" t="s">
        <v>591</v>
      </c>
      <c r="D12" s="32" t="s">
        <v>592</v>
      </c>
    </row>
    <row r="13" spans="1:4" ht="21.95" customHeight="1" x14ac:dyDescent="0.25">
      <c r="A13" s="31" t="s">
        <v>593</v>
      </c>
      <c r="B13" s="113" t="s">
        <v>594</v>
      </c>
      <c r="C13" s="115" t="s">
        <v>584</v>
      </c>
      <c r="D13" s="32" t="s">
        <v>595</v>
      </c>
    </row>
    <row r="14" spans="1:4" ht="21.95" customHeight="1" x14ac:dyDescent="0.25">
      <c r="A14" s="31" t="s">
        <v>596</v>
      </c>
      <c r="B14" s="113" t="s">
        <v>597</v>
      </c>
      <c r="C14" s="114" t="s">
        <v>598</v>
      </c>
      <c r="D14" s="32" t="s">
        <v>599</v>
      </c>
    </row>
    <row r="15" spans="1:4" ht="21.95" customHeight="1" x14ac:dyDescent="0.25">
      <c r="A15" s="31" t="s">
        <v>600</v>
      </c>
      <c r="B15" s="113" t="s">
        <v>601</v>
      </c>
      <c r="C15" s="115" t="s">
        <v>584</v>
      </c>
      <c r="D15" s="32" t="s">
        <v>602</v>
      </c>
    </row>
    <row r="16" spans="1:4" ht="21.95" customHeight="1" x14ac:dyDescent="0.25">
      <c r="A16" s="31" t="s">
        <v>603</v>
      </c>
      <c r="B16" s="113" t="s">
        <v>601</v>
      </c>
      <c r="C16" s="115" t="s">
        <v>584</v>
      </c>
      <c r="D16" s="32" t="s">
        <v>604</v>
      </c>
    </row>
    <row r="17" spans="1:4" ht="21.95" customHeight="1" x14ac:dyDescent="0.25">
      <c r="A17" s="31" t="s">
        <v>605</v>
      </c>
      <c r="B17" s="113" t="s">
        <v>606</v>
      </c>
      <c r="C17" s="115" t="s">
        <v>584</v>
      </c>
      <c r="D17" s="32" t="s">
        <v>607</v>
      </c>
    </row>
    <row r="18" spans="1:4" ht="21.95" customHeight="1" x14ac:dyDescent="0.25">
      <c r="A18" s="31" t="s">
        <v>608</v>
      </c>
      <c r="B18" s="113" t="s">
        <v>609</v>
      </c>
      <c r="C18" s="115" t="s">
        <v>584</v>
      </c>
      <c r="D18" s="32" t="s">
        <v>610</v>
      </c>
    </row>
  </sheetData>
  <hyperlinks>
    <hyperlink ref="A1" location="'Contents'!A1" display="‹ Contents" xr:uid="{00000000-0004-0000-0E00-000000000000}"/>
  </hyperlink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A8F97"/>
    <pageSetUpPr fitToPage="1"/>
  </sheetPr>
  <dimension ref="A1:G13"/>
  <sheetViews>
    <sheetView showGridLines="0" workbookViewId="0">
      <pane ySplit="3" topLeftCell="A4" activePane="bottomLeft" state="frozen"/>
      <selection pane="bottomLeft" activeCell="A2" sqref="A2:XFD2"/>
    </sheetView>
  </sheetViews>
  <sheetFormatPr defaultRowHeight="15" x14ac:dyDescent="0.25"/>
  <cols>
    <col min="1" max="1" width="9" customWidth="1"/>
    <col min="2" max="2" width="34" customWidth="1"/>
    <col min="3" max="3" width="50" customWidth="1"/>
    <col min="4" max="4" width="11" customWidth="1"/>
    <col min="5" max="5" width="16" customWidth="1"/>
    <col min="6" max="6" width="14" customWidth="1"/>
    <col min="7" max="7" width="26" customWidth="1"/>
  </cols>
  <sheetData>
    <row r="1" spans="1:7" x14ac:dyDescent="0.25">
      <c r="A1" s="16" t="s">
        <v>53</v>
      </c>
    </row>
    <row r="3" spans="1:7" ht="32.1" customHeight="1" x14ac:dyDescent="0.25">
      <c r="A3" s="29" t="s">
        <v>255</v>
      </c>
      <c r="B3" s="29" t="s">
        <v>611</v>
      </c>
      <c r="C3" s="29" t="s">
        <v>612</v>
      </c>
      <c r="D3" s="29" t="s">
        <v>206</v>
      </c>
      <c r="E3" s="29" t="s">
        <v>208</v>
      </c>
      <c r="F3" s="29" t="s">
        <v>613</v>
      </c>
      <c r="G3" s="29" t="s">
        <v>440</v>
      </c>
    </row>
    <row r="4" spans="1:7" ht="24" customHeight="1" x14ac:dyDescent="0.25">
      <c r="A4" s="98" t="s">
        <v>614</v>
      </c>
      <c r="B4" s="116" t="s">
        <v>615</v>
      </c>
      <c r="C4" s="32" t="s">
        <v>616</v>
      </c>
      <c r="D4" s="117" t="s">
        <v>213</v>
      </c>
      <c r="E4" s="99"/>
      <c r="F4" s="100"/>
      <c r="G4" s="105"/>
    </row>
    <row r="5" spans="1:7" ht="24" customHeight="1" x14ac:dyDescent="0.25">
      <c r="A5" s="98" t="s">
        <v>617</v>
      </c>
      <c r="B5" s="116" t="s">
        <v>618</v>
      </c>
      <c r="C5" s="32" t="s">
        <v>619</v>
      </c>
      <c r="D5" s="117" t="s">
        <v>213</v>
      </c>
      <c r="E5" s="99"/>
      <c r="F5" s="100"/>
      <c r="G5" s="105"/>
    </row>
    <row r="6" spans="1:7" ht="24" customHeight="1" x14ac:dyDescent="0.25">
      <c r="A6" s="98" t="s">
        <v>620</v>
      </c>
      <c r="B6" s="116" t="s">
        <v>621</v>
      </c>
      <c r="C6" s="32" t="s">
        <v>622</v>
      </c>
      <c r="D6" s="117" t="s">
        <v>213</v>
      </c>
      <c r="E6" s="99"/>
      <c r="F6" s="100"/>
      <c r="G6" s="105"/>
    </row>
    <row r="7" spans="1:7" ht="24" customHeight="1" x14ac:dyDescent="0.25">
      <c r="A7" s="98" t="s">
        <v>623</v>
      </c>
      <c r="B7" s="116" t="s">
        <v>624</v>
      </c>
      <c r="C7" s="32" t="s">
        <v>625</v>
      </c>
      <c r="D7" s="117" t="s">
        <v>213</v>
      </c>
      <c r="E7" s="99"/>
      <c r="F7" s="100"/>
      <c r="G7" s="105"/>
    </row>
    <row r="8" spans="1:7" ht="24" customHeight="1" x14ac:dyDescent="0.25">
      <c r="A8" s="98" t="s">
        <v>626</v>
      </c>
      <c r="B8" s="116" t="s">
        <v>627</v>
      </c>
      <c r="C8" s="32" t="s">
        <v>628</v>
      </c>
      <c r="D8" s="117" t="s">
        <v>213</v>
      </c>
      <c r="E8" s="99"/>
      <c r="F8" s="100"/>
      <c r="G8" s="105"/>
    </row>
    <row r="9" spans="1:7" ht="24" customHeight="1" x14ac:dyDescent="0.25">
      <c r="A9" s="98" t="s">
        <v>629</v>
      </c>
      <c r="B9" s="116" t="s">
        <v>630</v>
      </c>
      <c r="C9" s="32" t="s">
        <v>631</v>
      </c>
      <c r="D9" s="118" t="s">
        <v>231</v>
      </c>
      <c r="E9" s="99"/>
      <c r="F9" s="100"/>
      <c r="G9" s="105"/>
    </row>
    <row r="10" spans="1:7" ht="24" customHeight="1" x14ac:dyDescent="0.25">
      <c r="A10" s="98" t="s">
        <v>632</v>
      </c>
      <c r="B10" s="116" t="s">
        <v>633</v>
      </c>
      <c r="C10" s="32" t="s">
        <v>634</v>
      </c>
      <c r="D10" s="118" t="s">
        <v>231</v>
      </c>
      <c r="E10" s="99"/>
      <c r="F10" s="100"/>
      <c r="G10" s="105"/>
    </row>
    <row r="11" spans="1:7" ht="24" customHeight="1" x14ac:dyDescent="0.25">
      <c r="A11" s="98" t="s">
        <v>635</v>
      </c>
      <c r="B11" s="116" t="s">
        <v>636</v>
      </c>
      <c r="C11" s="32" t="s">
        <v>637</v>
      </c>
      <c r="D11" s="118" t="s">
        <v>231</v>
      </c>
      <c r="E11" s="99"/>
      <c r="F11" s="100"/>
      <c r="G11" s="105"/>
    </row>
    <row r="12" spans="1:7" ht="24" customHeight="1" x14ac:dyDescent="0.25">
      <c r="A12" s="98" t="s">
        <v>638</v>
      </c>
      <c r="B12" s="116" t="s">
        <v>639</v>
      </c>
      <c r="C12" s="32" t="s">
        <v>640</v>
      </c>
      <c r="D12" s="118" t="s">
        <v>231</v>
      </c>
      <c r="E12" s="99"/>
      <c r="F12" s="100"/>
      <c r="G12" s="105"/>
    </row>
    <row r="13" spans="1:7" ht="24" customHeight="1" x14ac:dyDescent="0.25">
      <c r="A13" s="98" t="s">
        <v>641</v>
      </c>
      <c r="B13" s="116" t="s">
        <v>642</v>
      </c>
      <c r="C13" s="32" t="s">
        <v>643</v>
      </c>
      <c r="D13" s="117" t="s">
        <v>213</v>
      </c>
      <c r="E13" s="99"/>
      <c r="F13" s="100"/>
      <c r="G13" s="105"/>
    </row>
  </sheetData>
  <hyperlinks>
    <hyperlink ref="A1" location="'Contents'!A1" display="‹ Contents" xr:uid="{00000000-0004-0000-0F00-000000000000}"/>
  </hyperlink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A8F97"/>
    <pageSetUpPr fitToPage="1"/>
  </sheetPr>
  <dimension ref="A1:B15"/>
  <sheetViews>
    <sheetView showGridLines="0" workbookViewId="0">
      <pane ySplit="4" topLeftCell="A5" activePane="bottomLeft" state="frozen"/>
      <selection pane="bottomLeft" activeCell="A2" sqref="A2:XFD2"/>
    </sheetView>
  </sheetViews>
  <sheetFormatPr defaultRowHeight="15" x14ac:dyDescent="0.25"/>
  <cols>
    <col min="1" max="1" width="32" customWidth="1"/>
    <col min="2" max="2" width="82" customWidth="1"/>
  </cols>
  <sheetData>
    <row r="1" spans="1:2" x14ac:dyDescent="0.25">
      <c r="A1" s="16" t="s">
        <v>53</v>
      </c>
    </row>
    <row r="2" spans="1:2" ht="26.1" customHeight="1" x14ac:dyDescent="0.25">
      <c r="A2" s="1" t="s">
        <v>644</v>
      </c>
    </row>
    <row r="4" spans="1:2" ht="32.1" customHeight="1" x14ac:dyDescent="0.25">
      <c r="A4" s="29" t="s">
        <v>645</v>
      </c>
      <c r="B4" s="29" t="s">
        <v>205</v>
      </c>
    </row>
    <row r="5" spans="1:2" ht="32.1" customHeight="1" x14ac:dyDescent="0.25">
      <c r="A5" s="119" t="s">
        <v>646</v>
      </c>
      <c r="B5" s="120" t="s">
        <v>647</v>
      </c>
    </row>
    <row r="6" spans="1:2" ht="32.1" customHeight="1" x14ac:dyDescent="0.25">
      <c r="A6" s="119" t="s">
        <v>648</v>
      </c>
      <c r="B6" s="120" t="s">
        <v>649</v>
      </c>
    </row>
    <row r="7" spans="1:2" ht="32.1" customHeight="1" x14ac:dyDescent="0.25">
      <c r="A7" s="119" t="s">
        <v>59</v>
      </c>
      <c r="B7" s="120" t="s">
        <v>650</v>
      </c>
    </row>
    <row r="8" spans="1:2" ht="32.1" customHeight="1" x14ac:dyDescent="0.25">
      <c r="A8" s="119" t="s">
        <v>86</v>
      </c>
      <c r="B8" s="120" t="s">
        <v>651</v>
      </c>
    </row>
    <row r="9" spans="1:2" ht="32.1" customHeight="1" x14ac:dyDescent="0.25">
      <c r="A9" s="119" t="s">
        <v>65</v>
      </c>
      <c r="B9" s="120" t="s">
        <v>652</v>
      </c>
    </row>
    <row r="10" spans="1:2" ht="32.1" customHeight="1" x14ac:dyDescent="0.25">
      <c r="A10" s="119" t="s">
        <v>69</v>
      </c>
      <c r="B10" s="120" t="s">
        <v>653</v>
      </c>
    </row>
    <row r="11" spans="1:2" ht="32.1" customHeight="1" x14ac:dyDescent="0.25">
      <c r="A11" s="119" t="s">
        <v>654</v>
      </c>
      <c r="B11" s="120" t="s">
        <v>655</v>
      </c>
    </row>
    <row r="12" spans="1:2" ht="32.1" customHeight="1" x14ac:dyDescent="0.25">
      <c r="A12" s="119" t="s">
        <v>468</v>
      </c>
      <c r="B12" s="120" t="s">
        <v>656</v>
      </c>
    </row>
    <row r="13" spans="1:2" ht="32.1" customHeight="1" x14ac:dyDescent="0.25">
      <c r="A13" s="119" t="s">
        <v>657</v>
      </c>
      <c r="B13" s="120" t="s">
        <v>658</v>
      </c>
    </row>
    <row r="14" spans="1:2" ht="32.1" customHeight="1" x14ac:dyDescent="0.25">
      <c r="A14" s="119" t="s">
        <v>522</v>
      </c>
      <c r="B14" s="120" t="s">
        <v>659</v>
      </c>
    </row>
    <row r="15" spans="1:2" ht="32.1" customHeight="1" x14ac:dyDescent="0.25">
      <c r="A15" s="119" t="s">
        <v>523</v>
      </c>
      <c r="B15" s="120" t="s">
        <v>660</v>
      </c>
    </row>
  </sheetData>
  <hyperlinks>
    <hyperlink ref="A1" location="'Contents'!A1" display="‹ Contents" xr:uid="{00000000-0004-0000-1000-000000000000}"/>
  </hyperlink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Contents</vt:lpstr>
      <vt:lpstr>Executive summary</vt:lpstr>
      <vt:lpstr>Stage by stage</vt:lpstr>
      <vt:lpstr>Tokens &amp; cost by step</vt:lpstr>
      <vt:lpstr>Tokens &amp; cost by project</vt:lpstr>
      <vt:lpstr>Where work is stuck</vt:lpstr>
      <vt:lpstr>Cost scaling</vt:lpstr>
      <vt:lpstr>Issues &amp; actions</vt:lpstr>
      <vt:lpstr>Test progress</vt:lpstr>
      <vt:lpstr>Test · Functional</vt:lpstr>
      <vt:lpstr>Test · Documents</vt:lpstr>
      <vt:lpstr>Test · Drawings</vt:lpstr>
      <vt:lpstr>Test · Tokens</vt:lpstr>
      <vt:lpstr>Test · Accuracy</vt:lpstr>
      <vt:lpstr>Targets</vt:lpstr>
      <vt:lpstr>Test data needed</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IKIO</cp:lastModifiedBy>
  <dcterms:created xsi:type="dcterms:W3CDTF">2026-08-27T19:34:47Z</dcterms:created>
  <dcterms:modified xsi:type="dcterms:W3CDTF">2026-08-27T19:46:56Z</dcterms:modified>
</cp:coreProperties>
</file>