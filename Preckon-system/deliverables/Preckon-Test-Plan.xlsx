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use" sheetId="1" state="visible" r:id="rId1"/>
    <sheet xmlns:r="http://schemas.openxmlformats.org/officeDocument/2006/relationships" name="Dashboard" sheetId="2" state="visible" r:id="rId2"/>
    <sheet xmlns:r="http://schemas.openxmlformats.org/officeDocument/2006/relationships" name="Functional tests" sheetId="3" state="visible" r:id="rId3"/>
    <sheet xmlns:r="http://schemas.openxmlformats.org/officeDocument/2006/relationships" name="Document performance" sheetId="4" state="visible" r:id="rId4"/>
    <sheet xmlns:r="http://schemas.openxmlformats.org/officeDocument/2006/relationships" name="Drawing performance" sheetId="5" state="visible" r:id="rId5"/>
    <sheet xmlns:r="http://schemas.openxmlformats.org/officeDocument/2006/relationships" name="Token usage" sheetId="6" state="visible" r:id="rId6"/>
    <sheet xmlns:r="http://schemas.openxmlformats.org/officeDocument/2006/relationships" name="Extraction accuracy" sheetId="7" state="visible" r:id="rId7"/>
    <sheet xmlns:r="http://schemas.openxmlformats.org/officeDocument/2006/relationships" name="Test data needed" sheetId="8" state="visible" r:id="rId8"/>
    <sheet xmlns:r="http://schemas.openxmlformats.org/officeDocument/2006/relationships" name="Targets" sheetId="9" state="visible" r:id="rId9"/>
  </sheets>
  <definedNames>
    <definedName name="_xlnm._FilterDatabase" localSheetId="2" hidden="1">'Functional tests'!$A$4:$K$44</definedName>
    <definedName name="_xlnm._FilterDatabase" localSheetId="3" hidden="1">'Document performance'!$A$4:$O$19</definedName>
    <definedName name="_xlnm._FilterDatabase" localSheetId="4" hidden="1">'Drawing performance'!$A$4:$P$16</definedName>
    <definedName name="_xlnm._FilterDatabase" localSheetId="6" hidden="1">'Extraction accuracy'!$A$4:$N$14</definedName>
  </definedNames>
  <calcPr calcId="124519" fullCalcOnLoad="1"/>
</workbook>
</file>

<file path=xl/styles.xml><?xml version="1.0" encoding="utf-8"?>
<styleSheet xmlns="http://schemas.openxmlformats.org/spreadsheetml/2006/main">
  <numFmts count="4">
    <numFmt numFmtId="164" formatCode="#,##0.0"/>
    <numFmt numFmtId="165" formatCode="&quot;$&quot;#,##0.0000"/>
    <numFmt numFmtId="166" formatCode="&quot;$&quot;#,##0.00"/>
    <numFmt numFmtId="167" formatCode="0.0%"/>
  </numFmts>
  <fonts count="13">
    <font>
      <name val="Calibri"/>
      <family val="2"/>
      <color theme="1"/>
      <sz val="11"/>
      <scheme val="minor"/>
    </font>
    <font>
      <name val="Calibri"/>
      <b val="1"/>
      <color rgb="FF13262E"/>
      <sz val="20"/>
    </font>
    <font>
      <name val="Calibri"/>
      <color rgb="FF4B646E"/>
      <sz val="12"/>
    </font>
    <font>
      <name val="Calibri"/>
      <b val="1"/>
      <color rgb="FF0B5E52"/>
      <sz val="13"/>
    </font>
    <font>
      <name val="Calibri"/>
      <b val="1"/>
      <color rgb="FF13262E"/>
      <sz val="10.5"/>
    </font>
    <font>
      <name val="Calibri"/>
      <color rgb="FF13262E"/>
      <sz val="10.5"/>
    </font>
    <font>
      <name val="Calibri"/>
      <b val="1"/>
      <color rgb="FFFFFFFF"/>
      <sz val="10.5"/>
    </font>
    <font>
      <name val="Calibri"/>
      <color rgb="FF4B646E"/>
      <sz val="10"/>
    </font>
    <font>
      <name val="Consolas"/>
      <color rgb="FF13262E"/>
      <sz val="10"/>
    </font>
    <font>
      <name val="Calibri"/>
      <b val="1"/>
      <color rgb="FFA32A20"/>
      <sz val="10.5"/>
    </font>
    <font>
      <name val="Calibri"/>
      <b val="1"/>
      <color rgb="FF8A5A12"/>
      <sz val="10.5"/>
    </font>
    <font>
      <name val="Calibri"/>
      <b val="1"/>
      <color rgb="FFA32A20"/>
      <sz val="11"/>
    </font>
    <font>
      <name val="Calibri"/>
      <b val="1"/>
      <color rgb="FF0B5E52"/>
      <sz val="11"/>
    </font>
  </fonts>
  <fills count="7">
    <fill>
      <patternFill/>
    </fill>
    <fill>
      <patternFill patternType="gray125"/>
    </fill>
    <fill>
      <patternFill patternType="solid">
        <fgColor rgb="FF0B5E52"/>
      </patternFill>
    </fill>
    <fill>
      <patternFill patternType="solid">
        <fgColor rgb="FFEFF3F3"/>
      </patternFill>
    </fill>
    <fill>
      <patternFill patternType="solid">
        <fgColor rgb="FFFFF8DC"/>
      </patternFill>
    </fill>
    <fill>
      <patternFill patternType="solid">
        <fgColor rgb="FFF3F8F7"/>
      </patternFill>
    </fill>
    <fill>
      <patternFill patternType="solid">
        <fgColor rgb="FFFDF3E3"/>
      </patternFill>
    </fill>
  </fills>
  <borders count="4">
    <border>
      <left/>
      <right/>
      <top/>
      <bottom/>
      <diagonal/>
    </border>
    <border>
      <bottom style="thin">
        <color rgb="FFDCE5E5"/>
      </bottom>
    </border>
    <border>
      <top style="medium">
        <color rgb="FF0B5E52"/>
      </top>
    </border>
    <border>
      <left style="thin">
        <color rgb="FFDCE5E5"/>
      </left>
      <right style="thin">
        <color rgb="FFDCE5E5"/>
      </right>
      <top style="thin">
        <color rgb="FFDCE5E5"/>
      </top>
      <bottom style="thin">
        <color rgb="FFDCE5E5"/>
      </bottom>
    </border>
  </borders>
  <cellStyleXfs count="1">
    <xf numFmtId="0" fontId="0" fillId="0" borderId="0"/>
  </cellStyleXfs>
  <cellXfs count="5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1" pivotButton="0" quotePrefix="0" xfId="0"/>
    <xf numFmtId="0" fontId="5" fillId="0" borderId="1" applyAlignment="1" pivotButton="0" quotePrefix="0" xfId="0">
      <alignment vertical="center" wrapText="1"/>
    </xf>
    <xf numFmtId="0" fontId="5" fillId="0" borderId="0" applyAlignment="1" pivotButton="0" quotePrefix="0" xfId="0">
      <alignment vertical="top" wrapText="1"/>
    </xf>
    <xf numFmtId="0" fontId="6" fillId="2" borderId="0" applyAlignment="1" pivotButton="0" quotePrefix="0" xfId="0">
      <alignment horizontal="left" vertical="center" wrapText="1"/>
    </xf>
    <xf numFmtId="0" fontId="4" fillId="0" borderId="1" applyAlignment="1" pivotButton="0" quotePrefix="0" xfId="0">
      <alignment horizontal="left" vertical="center"/>
    </xf>
    <xf numFmtId="0" fontId="5" fillId="3" borderId="1" applyAlignment="1" pivotButton="0" quotePrefix="0" xfId="0">
      <alignment horizontal="center" vertical="center"/>
    </xf>
    <xf numFmtId="9" fontId="5" fillId="3" borderId="1" applyAlignment="1" pivotButton="0" quotePrefix="0" xfId="0">
      <alignment horizontal="center" vertical="center"/>
    </xf>
    <xf numFmtId="0" fontId="7" fillId="0" borderId="1" applyAlignment="1" pivotButton="0" quotePrefix="0" xfId="0">
      <alignment horizontal="left" vertical="center"/>
    </xf>
    <xf numFmtId="0" fontId="4" fillId="0" borderId="2" pivotButton="0" quotePrefix="0" xfId="0"/>
    <xf numFmtId="0" fontId="4" fillId="0" borderId="2" applyAlignment="1" pivotButton="0" quotePrefix="0" xfId="0">
      <alignment horizontal="center"/>
    </xf>
    <xf numFmtId="9" fontId="4" fillId="0" borderId="2" applyAlignment="1" pivotButton="0" quotePrefix="0" xfId="0">
      <alignment horizontal="center"/>
    </xf>
    <xf numFmtId="0" fontId="0" fillId="0" borderId="2" pivotButton="0" quotePrefix="0" xfId="0"/>
    <xf numFmtId="0" fontId="4" fillId="0" borderId="0" pivotButton="0" quotePrefix="0" xfId="0"/>
    <xf numFmtId="0" fontId="0" fillId="4" borderId="3" pivotButton="0" quotePrefix="0" xfId="0"/>
    <xf numFmtId="0" fontId="8" fillId="0" borderId="1" applyAlignment="1" pivotButton="0" quotePrefix="0" xfId="0">
      <alignment horizontal="left" vertical="top"/>
    </xf>
    <xf numFmtId="0" fontId="4" fillId="0" borderId="1" applyAlignment="1" pivotButton="0" quotePrefix="0" xfId="0">
      <alignment horizontal="left" vertical="top"/>
    </xf>
    <xf numFmtId="0" fontId="5" fillId="0" borderId="1" applyAlignment="1" pivotButton="0" quotePrefix="0" xfId="0">
      <alignment horizontal="left" vertical="top" wrapText="1"/>
    </xf>
    <xf numFmtId="0" fontId="7" fillId="0" borderId="1" applyAlignment="1" pivotButton="0" quotePrefix="0" xfId="0">
      <alignment horizontal="left" vertical="top" wrapText="1"/>
    </xf>
    <xf numFmtId="0" fontId="9" fillId="0" borderId="1" applyAlignment="1" pivotButton="0" quotePrefix="0" xfId="0">
      <alignment horizontal="center" vertical="top"/>
    </xf>
    <xf numFmtId="0" fontId="0" fillId="4" borderId="1" applyAlignment="1" pivotButton="0" quotePrefix="0" xfId="0">
      <alignment horizontal="center" vertical="top"/>
    </xf>
    <xf numFmtId="0" fontId="0" fillId="4" borderId="1" applyAlignment="1" pivotButton="0" quotePrefix="0" xfId="0">
      <alignment horizontal="left" vertical="top" wrapText="1"/>
    </xf>
    <xf numFmtId="0" fontId="0" fillId="4" borderId="1" applyAlignment="1" pivotButton="0" quotePrefix="0" xfId="0">
      <alignment horizontal="left" vertical="top"/>
    </xf>
    <xf numFmtId="0" fontId="8" fillId="5" borderId="1" applyAlignment="1" pivotButton="0" quotePrefix="0" xfId="0">
      <alignment horizontal="left" vertical="top"/>
    </xf>
    <xf numFmtId="0" fontId="4" fillId="5" borderId="1" applyAlignment="1" pivotButton="0" quotePrefix="0" xfId="0">
      <alignment horizontal="left" vertical="top"/>
    </xf>
    <xf numFmtId="0" fontId="5" fillId="5" borderId="1" applyAlignment="1" pivotButton="0" quotePrefix="0" xfId="0">
      <alignment horizontal="left" vertical="top" wrapText="1"/>
    </xf>
    <xf numFmtId="0" fontId="7" fillId="5" borderId="1" applyAlignment="1" pivotButton="0" quotePrefix="0" xfId="0">
      <alignment horizontal="left" vertical="top" wrapText="1"/>
    </xf>
    <xf numFmtId="0" fontId="9" fillId="5" borderId="1" applyAlignment="1" pivotButton="0" quotePrefix="0" xfId="0">
      <alignment horizontal="center" vertical="top"/>
    </xf>
    <xf numFmtId="0" fontId="10" fillId="5" borderId="1" applyAlignment="1" pivotButton="0" quotePrefix="0" xfId="0">
      <alignment horizontal="center" vertical="top"/>
    </xf>
    <xf numFmtId="0" fontId="10" fillId="0" borderId="1" applyAlignment="1" pivotButton="0" quotePrefix="0" xfId="0">
      <alignment horizontal="center" vertical="top"/>
    </xf>
    <xf numFmtId="0" fontId="8" fillId="0" borderId="1" applyAlignment="1" pivotButton="0" quotePrefix="0" xfId="0">
      <alignment horizontal="left" vertical="center"/>
    </xf>
    <xf numFmtId="0" fontId="4" fillId="0" borderId="1" applyAlignment="1" pivotButton="0" quotePrefix="0" xfId="0">
      <alignment horizontal="left" vertical="center"/>
    </xf>
    <xf numFmtId="0" fontId="0" fillId="4" borderId="1" applyAlignment="1" pivotButton="0" quotePrefix="0" xfId="0">
      <alignment horizontal="left" vertical="center"/>
    </xf>
    <xf numFmtId="0" fontId="0" fillId="4" borderId="1" applyAlignment="1" pivotButton="0" quotePrefix="0" xfId="0">
      <alignment horizontal="center" vertical="center"/>
    </xf>
    <xf numFmtId="3" fontId="0" fillId="0" borderId="1" applyAlignment="1" pivotButton="0" quotePrefix="0" xfId="0">
      <alignment horizontal="center" vertical="center"/>
    </xf>
    <xf numFmtId="164" fontId="0" fillId="3" borderId="1" applyAlignment="1" pivotButton="0" quotePrefix="0" xfId="0">
      <alignment horizontal="center" vertical="center"/>
    </xf>
    <xf numFmtId="0" fontId="0" fillId="3" borderId="1" applyAlignment="1" pivotButton="0" quotePrefix="0" xfId="0">
      <alignment horizontal="center" vertical="center"/>
    </xf>
    <xf numFmtId="3" fontId="0" fillId="3" borderId="1" applyAlignment="1" pivotButton="0" quotePrefix="0" xfId="0">
      <alignment horizontal="center" vertical="center"/>
    </xf>
    <xf numFmtId="0" fontId="0" fillId="4" borderId="1" applyAlignment="1" pivotButton="0" quotePrefix="0" xfId="0">
      <alignment horizontal="left" vertical="center" wrapText="1"/>
    </xf>
    <xf numFmtId="0" fontId="7" fillId="0" borderId="0" applyAlignment="1" pivotButton="0" quotePrefix="0" xfId="0">
      <alignment vertical="top" wrapText="1"/>
    </xf>
    <xf numFmtId="0" fontId="7" fillId="0" borderId="1" applyAlignment="1" pivotButton="0" quotePrefix="0" xfId="0">
      <alignment horizontal="left" vertical="center" wrapText="1"/>
    </xf>
    <xf numFmtId="0" fontId="0" fillId="0" borderId="1" applyAlignment="1" pivotButton="0" quotePrefix="0" xfId="0">
      <alignment horizontal="left" vertical="center" wrapText="1"/>
    </xf>
    <xf numFmtId="165" fontId="0" fillId="3" borderId="1" applyAlignment="1" pivotButton="0" quotePrefix="0" xfId="0">
      <alignment horizontal="center" vertical="center"/>
    </xf>
    <xf numFmtId="3" fontId="4" fillId="0" borderId="2" pivotButton="0" quotePrefix="0" xfId="0"/>
    <xf numFmtId="166" fontId="4" fillId="0" borderId="2" pivotButton="0" quotePrefix="0" xfId="0"/>
    <xf numFmtId="0" fontId="7" fillId="4" borderId="1" applyAlignment="1" pivotButton="0" quotePrefix="0" xfId="0">
      <alignment horizontal="left" vertical="center" wrapText="1"/>
    </xf>
    <xf numFmtId="167" fontId="0" fillId="3" borderId="1" applyAlignment="1" pivotButton="0" quotePrefix="0" xfId="0">
      <alignment horizontal="center" vertical="center"/>
    </xf>
    <xf numFmtId="167" fontId="0" fillId="0" borderId="1" applyAlignment="1" pivotButton="0" quotePrefix="0" xfId="0">
      <alignment horizontal="center" vertical="center"/>
    </xf>
    <xf numFmtId="0" fontId="7" fillId="0" borderId="0" pivotButton="0" quotePrefix="0" xfId="0"/>
    <xf numFmtId="0" fontId="11" fillId="0" borderId="0" applyAlignment="1" pivotButton="0" quotePrefix="0" xfId="0">
      <alignment vertical="top" wrapText="1"/>
    </xf>
    <xf numFmtId="0" fontId="4" fillId="0" borderId="1" applyAlignment="1" pivotButton="0" quotePrefix="0" xfId="0">
      <alignment horizontal="left" vertical="center" wrapText="1"/>
    </xf>
    <xf numFmtId="0" fontId="9" fillId="0" borderId="1" applyAlignment="1" pivotButton="0" quotePrefix="0" xfId="0">
      <alignment horizontal="center" vertical="center"/>
    </xf>
    <xf numFmtId="0" fontId="10" fillId="0" borderId="1" applyAlignment="1" pivotButton="0" quotePrefix="0" xfId="0">
      <alignment horizontal="center" vertical="center"/>
    </xf>
    <xf numFmtId="0" fontId="12" fillId="4" borderId="1" applyAlignment="1" pivotButton="0" quotePrefix="0" xfId="0">
      <alignment horizontal="center" vertical="center"/>
    </xf>
    <xf numFmtId="0" fontId="7" fillId="0" borderId="1" applyAlignment="1" pivotButton="0" quotePrefix="0" xfId="0">
      <alignment horizontal="center" vertical="center"/>
    </xf>
    <xf numFmtId="0" fontId="7" fillId="6" borderId="1" applyAlignment="1" pivotButton="0" quotePrefix="0" xfId="0">
      <alignment horizontal="center" vertical="center"/>
    </xf>
  </cellXfs>
  <cellStyles count="1">
    <cellStyle name="Normal" xfId="0" builtinId="0" hidden="0"/>
  </cellStyles>
  <dxfs count="3">
    <dxf>
      <font>
        <b val="1"/>
        <color rgb="FF177A5E"/>
      </font>
      <fill>
        <patternFill patternType="solid">
          <fgColor rgb="FFE6F4EF"/>
        </patternFill>
      </fill>
    </dxf>
    <dxf>
      <font>
        <b val="1"/>
        <color rgb="FFA32A20"/>
      </font>
      <fill>
        <patternFill patternType="solid">
          <fgColor rgb="FFFBEBE9"/>
        </patternFill>
      </fill>
    </dxf>
    <dxf>
      <font>
        <b val="1"/>
        <color rgb="FF8A5A12"/>
      </font>
      <fill>
        <patternFill patternType="solid">
          <fgColor rgb="FFFDF3E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C21"/>
  <sheetViews>
    <sheetView showGridLines="0" workbookViewId="0">
      <selection activeCell="A1" sqref="A1"/>
    </sheetView>
  </sheetViews>
  <sheetFormatPr baseColWidth="8" defaultRowHeight="15"/>
  <cols>
    <col width="2" customWidth="1" min="1" max="1"/>
    <col width="30" customWidth="1" min="2" max="2"/>
    <col width="88" customWidth="1" min="3" max="3"/>
  </cols>
  <sheetData>
    <row r="2" ht="26" customHeight="1">
      <c r="B2" s="1" t="inlineStr">
        <is>
          <t>Preckon — test plan</t>
        </is>
      </c>
    </row>
    <row r="3">
      <c r="B3" s="2" t="inlineStr">
        <is>
          <t>Prepared 28 August 2026.  Fill in as you test; the dashboard updates itself.</t>
        </is>
      </c>
    </row>
    <row r="6">
      <c r="B6" s="3" t="inlineStr">
        <is>
          <t>What this covers</t>
        </is>
      </c>
    </row>
    <row r="7" ht="26" customHeight="1">
      <c r="B7" s="4" t="inlineStr">
        <is>
          <t>Functional tests</t>
        </is>
      </c>
      <c r="C7" s="5" t="inlineStr">
        <is>
          <t>Does each feature do what it says, across all eight modules and the platform.</t>
        </is>
      </c>
    </row>
    <row r="8" ht="26" customHeight="1">
      <c r="B8" s="4" t="inlineStr">
        <is>
          <t>Document performance</t>
        </is>
      </c>
      <c r="C8" s="5" t="inlineStr">
        <is>
          <t>How long a document takes to process, by file size — and what it costs in tokens.</t>
        </is>
      </c>
    </row>
    <row r="9" ht="26" customHeight="1">
      <c r="B9" s="4" t="inlineStr">
        <is>
          <t>Drawing performance</t>
        </is>
      </c>
      <c r="C9" s="5" t="inlineStr">
        <is>
          <t>The same for drawings, split by how complex the drawing is rather than its size.</t>
        </is>
      </c>
    </row>
    <row r="10" ht="26" customHeight="1">
      <c r="B10" s="4" t="inlineStr">
        <is>
          <t>Token usage</t>
        </is>
      </c>
      <c r="C10" s="5" t="inlineStr">
        <is>
          <t>Average tokens consumed per step of the bid chain, against an agreed target.</t>
        </is>
      </c>
    </row>
    <row r="11" ht="26" customHeight="1">
      <c r="B11" s="4" t="inlineStr">
        <is>
          <t>Extraction accuracy</t>
        </is>
      </c>
      <c r="C11" s="5" t="inlineStr">
        <is>
          <t>How much of what the AI pulled out was right, wrong, or missed entirely.</t>
        </is>
      </c>
    </row>
    <row r="13">
      <c r="B13" s="3" t="inlineStr">
        <is>
          <t>How to fill it in</t>
        </is>
      </c>
    </row>
    <row r="14" ht="22" customHeight="1">
      <c r="B14" s="6" t="inlineStr">
        <is>
          <t xml:space="preserve">     •   Cream cells are yours to fill in. Grey cells calculate themselves — do not type over them.</t>
        </is>
      </c>
    </row>
    <row r="15" ht="22" customHeight="1">
      <c r="B15" s="6" t="inlineStr">
        <is>
          <t xml:space="preserve">     •   The Result column is a dropdown: Not started, Pass, Fail, Blocked, N/A. It colours itself.</t>
        </is>
      </c>
    </row>
    <row r="16" ht="22" customHeight="1">
      <c r="B16" s="6" t="inlineStr">
        <is>
          <t xml:space="preserve">     •   Every test needs a tester name and a date, so a result can be traced back to a run.</t>
        </is>
      </c>
    </row>
    <row r="17" ht="22" customHeight="1">
      <c r="B17" s="6" t="inlineStr">
        <is>
          <t xml:space="preserve">     •   Where a test fails, put the ticket number in Notes. A fail with no ticket is a result nobody will act on.</t>
        </is>
      </c>
    </row>
    <row r="18" ht="22" customHeight="1">
      <c r="B18" s="6" t="inlineStr">
        <is>
          <t xml:space="preserve">     •   The Targets sheet holds the pass/fail thresholds. Agree those with engineering before testing starts — they are proposals, not decisions.</t>
        </is>
      </c>
    </row>
    <row r="20">
      <c r="B20" s="3" t="inlineStr">
        <is>
          <t>Before you start</t>
        </is>
      </c>
    </row>
    <row r="21" ht="76" customHeight="1">
      <c r="B21" s="6" t="inlineStr">
        <is>
          <t>Two things in the current build will affect results, and both are known. First, roughly half of all AI requests are refused by the data-privacy rule before they reach the model — so an accuracy test may return nothing at all until the data-classification policy is settled. Second, token usage is currently recorded as a fixed placeholder, so the token sheets will show identical numbers for every test until that counter is fixed. Test around both; do not treat either as a test failure.</t>
        </is>
      </c>
    </row>
  </sheetData>
  <mergeCells count="6">
    <mergeCell ref="B21:C21"/>
    <mergeCell ref="B16:C16"/>
    <mergeCell ref="B15:C15"/>
    <mergeCell ref="B14:C14"/>
    <mergeCell ref="B17:C17"/>
    <mergeCell ref="B18:C18"/>
  </mergeCells>
  <pageMargins left="0.75" right="0.75" top="1" bottom="1" header="0.5" footer="0.5"/>
  <pageSetup orientation="landscape" fitToWidth="1"/>
</worksheet>
</file>

<file path=xl/worksheets/sheet2.xml><?xml version="1.0" encoding="utf-8"?>
<worksheet xmlns="http://schemas.openxmlformats.org/spreadsheetml/2006/main">
  <sheetPr>
    <tabColor rgb="00177A5E"/>
    <outlinePr summaryBelow="1" summaryRight="1"/>
    <pageSetUpPr fitToPage="1"/>
  </sheetPr>
  <dimension ref="B2:I18"/>
  <sheetViews>
    <sheetView showGridLines="0" workbookViewId="0">
      <selection activeCell="A1" sqref="A1"/>
    </sheetView>
  </sheetViews>
  <sheetFormatPr baseColWidth="8" defaultRowHeight="15"/>
  <cols>
    <col width="2" customWidth="1" min="1" max="1"/>
    <col width="30" customWidth="1" min="2" max="2"/>
    <col width="13" customWidth="1" min="3" max="3"/>
    <col width="13" customWidth="1" min="4" max="4"/>
    <col width="13" customWidth="1" min="5" max="5"/>
    <col width="13" customWidth="1" min="6" max="6"/>
    <col width="13" customWidth="1" min="7" max="7"/>
    <col width="15" customWidth="1" min="8" max="8"/>
    <col width="40" customWidth="1" min="9" max="9"/>
  </cols>
  <sheetData>
    <row r="2" ht="26" customHeight="1">
      <c r="B2" s="1" t="inlineStr">
        <is>
          <t>Where testing has got to</t>
        </is>
      </c>
    </row>
    <row r="3">
      <c r="B3" s="2" t="inlineStr">
        <is>
          <t>Counts itself from the test sheets. Nothing here is typed in.</t>
        </is>
      </c>
    </row>
    <row r="6" ht="34" customHeight="1">
      <c r="B6" s="7" t="inlineStr">
        <is>
          <t>Area</t>
        </is>
      </c>
      <c r="C6" s="7" t="inlineStr">
        <is>
          <t>Tests</t>
        </is>
      </c>
      <c r="D6" s="7" t="inlineStr">
        <is>
          <t>Pass</t>
        </is>
      </c>
      <c r="E6" s="7" t="inlineStr">
        <is>
          <t>Fail</t>
        </is>
      </c>
      <c r="F6" s="7" t="inlineStr">
        <is>
          <t>Blocked</t>
        </is>
      </c>
      <c r="G6" s="7" t="inlineStr">
        <is>
          <t>Not started</t>
        </is>
      </c>
      <c r="H6" s="7" t="inlineStr">
        <is>
          <t>% complete</t>
        </is>
      </c>
      <c r="I6" s="7" t="inlineStr">
        <is>
          <t>Note</t>
        </is>
      </c>
    </row>
    <row r="7" ht="24" customHeight="1">
      <c r="B7" s="8" t="inlineStr">
        <is>
          <t>Functional tests</t>
        </is>
      </c>
      <c r="C7" s="9">
        <f>COUNTIF('Functional tests'!$G$5:$G$200,"Pass")+COUNTIF('Functional tests'!$G$5:$G$200,"Fail")+COUNTIF('Functional tests'!$G$5:$G$200,"Blocked")+COUNTIF('Functional tests'!$G$5:$G$200,"Not started")+COUNTIF('Functional tests'!$G$5:$G$200,"N/A")</f>
        <v/>
      </c>
      <c r="D7" s="9">
        <f>COUNTIF('Functional tests'!$G$5:$G$200,"Pass")</f>
        <v/>
      </c>
      <c r="E7" s="9">
        <f>COUNTIF('Functional tests'!$G$5:$G$200,"Fail")</f>
        <v/>
      </c>
      <c r="F7" s="9">
        <f>COUNTIF('Functional tests'!$G$5:$G$200,"Blocked")</f>
        <v/>
      </c>
      <c r="G7" s="9">
        <f>COUNTIF('Functional tests'!$G$5:$G$200,"Not started")</f>
        <v/>
      </c>
      <c r="H7" s="10">
        <f>IF(C7=0,0,(D7+E7)/C7)</f>
        <v/>
      </c>
      <c r="I7" s="11" t="inlineStr"/>
    </row>
    <row r="8" ht="24" customHeight="1">
      <c r="B8" s="8" t="inlineStr">
        <is>
          <t>Document performance</t>
        </is>
      </c>
      <c r="C8" s="9">
        <f>COUNTIF('Document performance'!$L$5:$L$200,"Pass")+COUNTIF('Document performance'!$L$5:$L$200,"Fail")+COUNTIF('Document performance'!$L$5:$L$200,"Blocked")+COUNTIF('Document performance'!$L$5:$L$200,"Not started")+COUNTIF('Document performance'!$L$5:$L$200,"N/A")</f>
        <v/>
      </c>
      <c r="D8" s="9">
        <f>COUNTIF('Document performance'!$L$5:$L$200,"Pass")</f>
        <v/>
      </c>
      <c r="E8" s="9">
        <f>COUNTIF('Document performance'!$L$5:$L$200,"Fail")</f>
        <v/>
      </c>
      <c r="F8" s="9">
        <f>COUNTIF('Document performance'!$L$5:$L$200,"Blocked")</f>
        <v/>
      </c>
      <c r="G8" s="9">
        <f>COUNTIF('Document performance'!$L$5:$L$200,"Not started")</f>
        <v/>
      </c>
      <c r="H8" s="10">
        <f>IF(C8=0,0,(D8+E8)/C8)</f>
        <v/>
      </c>
      <c r="I8" s="11" t="inlineStr"/>
    </row>
    <row r="9" ht="24" customHeight="1">
      <c r="B9" s="8" t="inlineStr">
        <is>
          <t>Drawing performance</t>
        </is>
      </c>
      <c r="C9" s="9">
        <f>COUNTIF('Drawing performance'!$M$5:$M$200,"Pass")+COUNTIF('Drawing performance'!$M$5:$M$200,"Fail")+COUNTIF('Drawing performance'!$M$5:$M$200,"Blocked")+COUNTIF('Drawing performance'!$M$5:$M$200,"Not started")+COUNTIF('Drawing performance'!$M$5:$M$200,"N/A")</f>
        <v/>
      </c>
      <c r="D9" s="9">
        <f>COUNTIF('Drawing performance'!$M$5:$M$200,"Pass")</f>
        <v/>
      </c>
      <c r="E9" s="9">
        <f>COUNTIF('Drawing performance'!$M$5:$M$200,"Fail")</f>
        <v/>
      </c>
      <c r="F9" s="9">
        <f>COUNTIF('Drawing performance'!$M$5:$M$200,"Blocked")</f>
        <v/>
      </c>
      <c r="G9" s="9">
        <f>COUNTIF('Drawing performance'!$M$5:$M$200,"Not started")</f>
        <v/>
      </c>
      <c r="H9" s="10">
        <f>IF(C9=0,0,(D9+E9)/C9)</f>
        <v/>
      </c>
      <c r="I9" s="11" t="inlineStr"/>
    </row>
    <row r="10" ht="24" customHeight="1">
      <c r="B10" s="8" t="inlineStr">
        <is>
          <t>Token usage</t>
        </is>
      </c>
      <c r="C10" s="9">
        <f>COUNTIF('Token usage'!$I$5:$I$200,"Pass")+COUNTIF('Token usage'!$I$5:$I$200,"Fail")+COUNTIF('Token usage'!$I$5:$I$200,"Blocked")+COUNTIF('Token usage'!$I$5:$I$200,"Not started")+COUNTIF('Token usage'!$I$5:$I$200,"N/A")</f>
        <v/>
      </c>
      <c r="D10" s="9">
        <f>COUNTIF('Token usage'!$I$5:$I$200,"Pass")</f>
        <v/>
      </c>
      <c r="E10" s="9">
        <f>COUNTIF('Token usage'!$I$5:$I$200,"Fail")</f>
        <v/>
      </c>
      <c r="F10" s="9">
        <f>COUNTIF('Token usage'!$I$5:$I$200,"Blocked")</f>
        <v/>
      </c>
      <c r="G10" s="9">
        <f>COUNTIF('Token usage'!$I$5:$I$200,"Not started")</f>
        <v/>
      </c>
      <c r="H10" s="10">
        <f>IF(C10=0,0,(D10+E10)/C10)</f>
        <v/>
      </c>
      <c r="I10" s="11" t="inlineStr"/>
    </row>
    <row r="11" ht="24" customHeight="1">
      <c r="B11" s="8" t="inlineStr">
        <is>
          <t>Extraction accuracy</t>
        </is>
      </c>
      <c r="C11" s="9">
        <f>COUNTIF('Extraction accuracy'!$M$5:$M$200,"Pass")+COUNTIF('Extraction accuracy'!$M$5:$M$200,"Fail")+COUNTIF('Extraction accuracy'!$M$5:$M$200,"Blocked")+COUNTIF('Extraction accuracy'!$M$5:$M$200,"Not started")+COUNTIF('Extraction accuracy'!$M$5:$M$200,"N/A")</f>
        <v/>
      </c>
      <c r="D11" s="9">
        <f>COUNTIF('Extraction accuracy'!$M$5:$M$200,"Pass")</f>
        <v/>
      </c>
      <c r="E11" s="9">
        <f>COUNTIF('Extraction accuracy'!$M$5:$M$200,"Fail")</f>
        <v/>
      </c>
      <c r="F11" s="9">
        <f>COUNTIF('Extraction accuracy'!$M$5:$M$200,"Blocked")</f>
        <v/>
      </c>
      <c r="G11" s="9">
        <f>COUNTIF('Extraction accuracy'!$M$5:$M$200,"Not started")</f>
        <v/>
      </c>
      <c r="H11" s="10">
        <f>IF(C11=0,0,(D11+E11)/C11)</f>
        <v/>
      </c>
      <c r="I11" s="11" t="inlineStr"/>
    </row>
    <row r="12">
      <c r="B12" s="12" t="inlineStr">
        <is>
          <t>TOTAL</t>
        </is>
      </c>
      <c r="C12" s="13">
        <f>SUM(C7:C11)</f>
        <v/>
      </c>
      <c r="D12" s="13">
        <f>SUM(D7:D11)</f>
        <v/>
      </c>
      <c r="E12" s="13">
        <f>SUM(E7:E11)</f>
        <v/>
      </c>
      <c r="F12" s="13">
        <f>SUM(F7:F11)</f>
        <v/>
      </c>
      <c r="G12" s="13">
        <f>SUM(G7:G11)</f>
        <v/>
      </c>
      <c r="H12" s="14">
        <f>IF(C12=0,0,(D12+E12)/C12)</f>
        <v/>
      </c>
      <c r="I12" s="15" t="n"/>
    </row>
    <row r="14">
      <c r="B14" s="3" t="inlineStr">
        <is>
          <t>Sign-off</t>
        </is>
      </c>
    </row>
    <row r="15" ht="34" customHeight="1">
      <c r="B15" s="7" t="inlineStr">
        <is>
          <t>Role</t>
        </is>
      </c>
      <c r="C15" s="7" t="inlineStr">
        <is>
          <t>Name</t>
        </is>
      </c>
      <c r="D15" s="7" t="inlineStr">
        <is>
          <t>Date</t>
        </is>
      </c>
      <c r="E15" s="7" t="inlineStr">
        <is>
          <t>Decision</t>
        </is>
      </c>
    </row>
    <row r="16" ht="24" customHeight="1">
      <c r="B16" s="16" t="inlineStr">
        <is>
          <t>Test lead</t>
        </is>
      </c>
      <c r="C16" s="17" t="n"/>
      <c r="D16" s="17" t="n"/>
      <c r="E16" s="17" t="n"/>
    </row>
    <row r="17" ht="24" customHeight="1">
      <c r="B17" s="16" t="inlineStr">
        <is>
          <t>Engineering lead</t>
        </is>
      </c>
      <c r="C17" s="17" t="n"/>
      <c r="D17" s="17" t="n"/>
      <c r="E17" s="17" t="n"/>
    </row>
    <row r="18" ht="24" customHeight="1">
      <c r="B18" s="16" t="inlineStr">
        <is>
          <t>Product / manager</t>
        </is>
      </c>
      <c r="C18" s="17" t="n"/>
      <c r="D18" s="17" t="n"/>
      <c r="E18" s="17" t="n"/>
    </row>
  </sheetData>
  <conditionalFormatting sqref="D7:F12">
    <cfRule type="cellIs" priority="1" operator="equal" dxfId="0">
      <formula>"Pass"</formula>
    </cfRule>
    <cfRule type="cellIs" priority="2" operator="equal" dxfId="1">
      <formula>"Fail"</formula>
    </cfRule>
    <cfRule type="cellIs" priority="3" operator="equal" dxfId="2">
      <formula>"Blocked"</formula>
    </cfRule>
  </conditionalFormatting>
  <pageMargins left="0.75" right="0.75" top="1" bottom="1" header="0.5" footer="0.5"/>
  <pageSetup orientation="landscape" fitToWidth="1"/>
</worksheet>
</file>

<file path=xl/worksheets/sheet3.xml><?xml version="1.0" encoding="utf-8"?>
<worksheet xmlns="http://schemas.openxmlformats.org/spreadsheetml/2006/main">
  <sheetPr>
    <outlinePr summaryBelow="1" summaryRight="1"/>
    <pageSetUpPr fitToPage="1"/>
  </sheetPr>
  <dimension ref="A1:K44"/>
  <sheetViews>
    <sheetView showGridLines="0" workbookViewId="0">
      <pane ySplit="4" topLeftCell="A5" activePane="bottomLeft" state="frozen"/>
      <selection pane="bottomLeft" activeCell="A1" sqref="A1"/>
    </sheetView>
  </sheetViews>
  <sheetFormatPr baseColWidth="8" defaultRowHeight="15"/>
  <cols>
    <col width="8" customWidth="1" min="1" max="1"/>
    <col width="17" customWidth="1" min="2" max="2"/>
    <col width="30" customWidth="1" min="3" max="3"/>
    <col width="46" customWidth="1" min="4" max="4"/>
    <col width="44" customWidth="1" min="5" max="5"/>
    <col width="13" customWidth="1" min="6" max="6"/>
    <col width="12" customWidth="1" min="7" max="7"/>
    <col width="34" customWidth="1" min="8" max="8"/>
    <col width="14" customWidth="1" min="9" max="9"/>
    <col width="12" customWidth="1" min="10" max="10"/>
    <col width="26" customWidth="1" min="11" max="11"/>
  </cols>
  <sheetData>
    <row r="1" ht="26" customHeight="1">
      <c r="A1" s="1" t="inlineStr">
        <is>
          <t>Functional tests</t>
        </is>
      </c>
    </row>
    <row r="2">
      <c r="A2" s="2" t="inlineStr">
        <is>
          <t>Does each feature do what it claims. One row per test.</t>
        </is>
      </c>
    </row>
    <row r="4" ht="34" customHeight="1">
      <c r="A4" s="7" t="inlineStr">
        <is>
          <t>ID</t>
        </is>
      </c>
      <c r="B4" s="7" t="inlineStr">
        <is>
          <t>Module</t>
        </is>
      </c>
      <c r="C4" s="7" t="inlineStr">
        <is>
          <t>Feature</t>
        </is>
      </c>
      <c r="D4" s="7" t="inlineStr">
        <is>
          <t>What to do</t>
        </is>
      </c>
      <c r="E4" s="7" t="inlineStr">
        <is>
          <t>What should happen</t>
        </is>
      </c>
      <c r="F4" s="7" t="inlineStr">
        <is>
          <t>Priority</t>
        </is>
      </c>
      <c r="G4" s="7" t="inlineStr">
        <is>
          <t>Result</t>
        </is>
      </c>
      <c r="H4" s="7" t="inlineStr">
        <is>
          <t>What actually happened</t>
        </is>
      </c>
      <c r="I4" s="7" t="inlineStr">
        <is>
          <t>Tester</t>
        </is>
      </c>
      <c r="J4" s="7" t="inlineStr">
        <is>
          <t>Date</t>
        </is>
      </c>
      <c r="K4" s="7" t="inlineStr">
        <is>
          <t>Notes / ticket</t>
        </is>
      </c>
    </row>
    <row r="5" ht="30" customHeight="1">
      <c r="A5" s="18" t="inlineStr">
        <is>
          <t>TEN-01</t>
        </is>
      </c>
      <c r="B5" s="19" t="inlineStr">
        <is>
          <t>TenderLogix</t>
        </is>
      </c>
      <c r="C5" s="20" t="inlineStr">
        <is>
          <t>Tender upload</t>
        </is>
      </c>
      <c r="D5" s="20" t="inlineStr">
        <is>
          <t>Upload a multi-file tender pack (PDF + XLSX)</t>
        </is>
      </c>
      <c r="E5" s="21" t="inlineStr">
        <is>
          <t>All files accepted, listed, and queued for reading</t>
        </is>
      </c>
      <c r="F5" s="22" t="inlineStr">
        <is>
          <t>High</t>
        </is>
      </c>
      <c r="G5" s="23" t="inlineStr">
        <is>
          <t>Not started</t>
        </is>
      </c>
      <c r="H5" s="24" t="n"/>
      <c r="I5" s="25" t="n"/>
      <c r="J5" s="23" t="n"/>
      <c r="K5" s="24" t="n"/>
    </row>
    <row r="6" ht="30" customHeight="1">
      <c r="A6" s="26" t="inlineStr">
        <is>
          <t>TEN-02</t>
        </is>
      </c>
      <c r="B6" s="27" t="inlineStr">
        <is>
          <t>TenderLogix</t>
        </is>
      </c>
      <c r="C6" s="28" t="inlineStr">
        <is>
          <t>Summary extraction</t>
        </is>
      </c>
      <c r="D6" s="28" t="inlineStr">
        <is>
          <t>Open the tender stage after processing</t>
        </is>
      </c>
      <c r="E6" s="29" t="inlineStr">
        <is>
          <t>Client, reference, submission format and deadline all populated from the documents</t>
        </is>
      </c>
      <c r="F6" s="30" t="inlineStr">
        <is>
          <t>High</t>
        </is>
      </c>
      <c r="G6" s="23" t="inlineStr">
        <is>
          <t>Not started</t>
        </is>
      </c>
      <c r="H6" s="24" t="n"/>
      <c r="I6" s="25" t="n"/>
      <c r="J6" s="23" t="n"/>
      <c r="K6" s="24" t="n"/>
    </row>
    <row r="7" ht="30" customHeight="1">
      <c r="A7" s="18" t="inlineStr">
        <is>
          <t>TEN-03</t>
        </is>
      </c>
      <c r="B7" s="19" t="inlineStr">
        <is>
          <t>TenderLogix</t>
        </is>
      </c>
      <c r="C7" s="20" t="inlineStr">
        <is>
          <t>Requirement extraction</t>
        </is>
      </c>
      <c r="D7" s="20" t="inlineStr">
        <is>
          <t>Check the requirement register</t>
        </is>
      </c>
      <c r="E7" s="21" t="inlineStr">
        <is>
          <t>Each requirement is listed with the clause it came from</t>
        </is>
      </c>
      <c r="F7" s="22" t="inlineStr">
        <is>
          <t>High</t>
        </is>
      </c>
      <c r="G7" s="23" t="inlineStr">
        <is>
          <t>Not started</t>
        </is>
      </c>
      <c r="H7" s="24" t="n"/>
      <c r="I7" s="25" t="n"/>
      <c r="J7" s="23" t="n"/>
      <c r="K7" s="24" t="n"/>
    </row>
    <row r="8" ht="30" customHeight="1">
      <c r="A8" s="26" t="inlineStr">
        <is>
          <t>TEN-04</t>
        </is>
      </c>
      <c r="B8" s="27" t="inlineStr">
        <is>
          <t>TenderLogix</t>
        </is>
      </c>
      <c r="C8" s="28" t="inlineStr">
        <is>
          <t>Deadline override</t>
        </is>
      </c>
      <c r="D8" s="28" t="inlineStr">
        <is>
          <t>Change the submission deadline by hand</t>
        </is>
      </c>
      <c r="E8" s="29" t="inlineStr">
        <is>
          <t>New date saved, and the change appears on the audit trail</t>
        </is>
      </c>
      <c r="F8" s="31" t="inlineStr">
        <is>
          <t>Medium</t>
        </is>
      </c>
      <c r="G8" s="23" t="inlineStr">
        <is>
          <t>Not started</t>
        </is>
      </c>
      <c r="H8" s="24" t="n"/>
      <c r="I8" s="25" t="n"/>
      <c r="J8" s="23" t="n"/>
      <c r="K8" s="24" t="n"/>
    </row>
    <row r="9" ht="30" customHeight="1">
      <c r="A9" s="18" t="inlineStr">
        <is>
          <t>TEN-05</t>
        </is>
      </c>
      <c r="B9" s="19" t="inlineStr">
        <is>
          <t>TenderLogix</t>
        </is>
      </c>
      <c r="C9" s="20" t="inlineStr">
        <is>
          <t>Bid / no-bid</t>
        </is>
      </c>
      <c r="D9" s="20" t="inlineStr">
        <is>
          <t>Run the bid qualification step</t>
        </is>
      </c>
      <c r="E9" s="21" t="inlineStr">
        <is>
          <t>A recommendation with reasons, awaiting a human decision</t>
        </is>
      </c>
      <c r="F9" s="32" t="inlineStr">
        <is>
          <t>Medium</t>
        </is>
      </c>
      <c r="G9" s="23" t="inlineStr">
        <is>
          <t>Not started</t>
        </is>
      </c>
      <c r="H9" s="24" t="n"/>
      <c r="I9" s="25" t="n"/>
      <c r="J9" s="23" t="n"/>
      <c r="K9" s="24" t="n"/>
    </row>
    <row r="10" ht="30" customHeight="1">
      <c r="A10" s="26" t="inlineStr">
        <is>
          <t>DOC-01</t>
        </is>
      </c>
      <c r="B10" s="27" t="inlineStr">
        <is>
          <t>DocLogix</t>
        </is>
      </c>
      <c r="C10" s="28" t="inlineStr">
        <is>
          <t>Document register</t>
        </is>
      </c>
      <c r="D10" s="28" t="inlineStr">
        <is>
          <t>Upload 10 documents of mixed type</t>
        </is>
      </c>
      <c r="E10" s="29" t="inlineStr">
        <is>
          <t>All appear in the register with type, revision and date</t>
        </is>
      </c>
      <c r="F10" s="30" t="inlineStr">
        <is>
          <t>High</t>
        </is>
      </c>
      <c r="G10" s="23" t="inlineStr">
        <is>
          <t>Not started</t>
        </is>
      </c>
      <c r="H10" s="24" t="n"/>
      <c r="I10" s="25" t="n"/>
      <c r="J10" s="23" t="n"/>
      <c r="K10" s="24" t="n"/>
    </row>
    <row r="11" ht="30" customHeight="1">
      <c r="A11" s="18" t="inlineStr">
        <is>
          <t>DOC-02</t>
        </is>
      </c>
      <c r="B11" s="19" t="inlineStr">
        <is>
          <t>DocLogix</t>
        </is>
      </c>
      <c r="C11" s="20" t="inlineStr">
        <is>
          <t>Revision handling</t>
        </is>
      </c>
      <c r="D11" s="20" t="inlineStr">
        <is>
          <t>Upload a second revision of the same document</t>
        </is>
      </c>
      <c r="E11" s="21" t="inlineStr">
        <is>
          <t>Superseded revision retained, latest marked current</t>
        </is>
      </c>
      <c r="F11" s="22" t="inlineStr">
        <is>
          <t>High</t>
        </is>
      </c>
      <c r="G11" s="23" t="inlineStr">
        <is>
          <t>Not started</t>
        </is>
      </c>
      <c r="H11" s="24" t="n"/>
      <c r="I11" s="25" t="n"/>
      <c r="J11" s="23" t="n"/>
      <c r="K11" s="24" t="n"/>
    </row>
    <row r="12" ht="30" customHeight="1">
      <c r="A12" s="26" t="inlineStr">
        <is>
          <t>DOC-03</t>
        </is>
      </c>
      <c r="B12" s="27" t="inlineStr">
        <is>
          <t>DocLogix</t>
        </is>
      </c>
      <c r="C12" s="28" t="inlineStr">
        <is>
          <t>Transmittal</t>
        </is>
      </c>
      <c r="D12" s="28" t="inlineStr">
        <is>
          <t>Issue a transmittal to two recipients</t>
        </is>
      </c>
      <c r="E12" s="29" t="inlineStr">
        <is>
          <t>Transmittal recorded with contents and recipients</t>
        </is>
      </c>
      <c r="F12" s="31" t="inlineStr">
        <is>
          <t>Medium</t>
        </is>
      </c>
      <c r="G12" s="23" t="inlineStr">
        <is>
          <t>Not started</t>
        </is>
      </c>
      <c r="H12" s="24" t="n"/>
      <c r="I12" s="25" t="n"/>
      <c r="J12" s="23" t="n"/>
      <c r="K12" s="24" t="n"/>
    </row>
    <row r="13" ht="30" customHeight="1">
      <c r="A13" s="18" t="inlineStr">
        <is>
          <t>DOC-04</t>
        </is>
      </c>
      <c r="B13" s="19" t="inlineStr">
        <is>
          <t>DocLogix</t>
        </is>
      </c>
      <c r="C13" s="20" t="inlineStr">
        <is>
          <t>Revision compare</t>
        </is>
      </c>
      <c r="D13" s="20" t="inlineStr">
        <is>
          <t>Compare two revisions of one document</t>
        </is>
      </c>
      <c r="E13" s="21" t="inlineStr">
        <is>
          <t>Differences listed clearly</t>
        </is>
      </c>
      <c r="F13" s="32" t="inlineStr">
        <is>
          <t>Medium</t>
        </is>
      </c>
      <c r="G13" s="23" t="inlineStr">
        <is>
          <t>Not started</t>
        </is>
      </c>
      <c r="H13" s="24" t="n"/>
      <c r="I13" s="25" t="n"/>
      <c r="J13" s="23" t="n"/>
      <c r="K13" s="24" t="n"/>
    </row>
    <row r="14" ht="30" customHeight="1">
      <c r="A14" s="26" t="inlineStr">
        <is>
          <t>DOC-05</t>
        </is>
      </c>
      <c r="B14" s="27" t="inlineStr">
        <is>
          <t>DocLogix</t>
        </is>
      </c>
      <c r="C14" s="28" t="inlineStr">
        <is>
          <t>Search / retrieval</t>
        </is>
      </c>
      <c r="D14" s="28" t="inlineStr">
        <is>
          <t>Search for a phrase inside a document</t>
        </is>
      </c>
      <c r="E14" s="29" t="inlineStr">
        <is>
          <t>The document is returned with the matching passage</t>
        </is>
      </c>
      <c r="F14" s="31" t="inlineStr">
        <is>
          <t>Medium</t>
        </is>
      </c>
      <c r="G14" s="23" t="inlineStr">
        <is>
          <t>Not started</t>
        </is>
      </c>
      <c r="H14" s="24" t="n"/>
      <c r="I14" s="25" t="n"/>
      <c r="J14" s="23" t="n"/>
      <c r="K14" s="24" t="n"/>
    </row>
    <row r="15" ht="30" customHeight="1">
      <c r="A15" s="18" t="inlineStr">
        <is>
          <t>DRW-01</t>
        </is>
      </c>
      <c r="B15" s="19" t="inlineStr">
        <is>
          <t>DrawLogix</t>
        </is>
      </c>
      <c r="C15" s="20" t="inlineStr">
        <is>
          <t>Drawing upload — PDF</t>
        </is>
      </c>
      <c r="D15" s="20" t="inlineStr">
        <is>
          <t>Upload a multi-sheet drawing PDF</t>
        </is>
      </c>
      <c r="E15" s="21" t="inlineStr">
        <is>
          <t>Each sheet listed separately with its sheet number</t>
        </is>
      </c>
      <c r="F15" s="22" t="inlineStr">
        <is>
          <t>High</t>
        </is>
      </c>
      <c r="G15" s="23" t="inlineStr">
        <is>
          <t>Not started</t>
        </is>
      </c>
      <c r="H15" s="24" t="n"/>
      <c r="I15" s="25" t="n"/>
      <c r="J15" s="23" t="n"/>
      <c r="K15" s="24" t="n"/>
    </row>
    <row r="16" ht="30" customHeight="1">
      <c r="A16" s="26" t="inlineStr">
        <is>
          <t>DRW-02</t>
        </is>
      </c>
      <c r="B16" s="27" t="inlineStr">
        <is>
          <t>DrawLogix</t>
        </is>
      </c>
      <c r="C16" s="28" t="inlineStr">
        <is>
          <t>Drawing upload — DWG/DXF</t>
        </is>
      </c>
      <c r="D16" s="28" t="inlineStr">
        <is>
          <t>Upload a CAD file</t>
        </is>
      </c>
      <c r="E16" s="29" t="inlineStr">
        <is>
          <t>Layers and entities read; drawing opens in the viewer</t>
        </is>
      </c>
      <c r="F16" s="30" t="inlineStr">
        <is>
          <t>High</t>
        </is>
      </c>
      <c r="G16" s="23" t="inlineStr">
        <is>
          <t>Not started</t>
        </is>
      </c>
      <c r="H16" s="24" t="n"/>
      <c r="I16" s="25" t="n"/>
      <c r="J16" s="23" t="n"/>
      <c r="K16" s="24" t="n"/>
    </row>
    <row r="17" ht="30" customHeight="1">
      <c r="A17" s="18" t="inlineStr">
        <is>
          <t>DRW-03</t>
        </is>
      </c>
      <c r="B17" s="19" t="inlineStr">
        <is>
          <t>DrawLogix</t>
        </is>
      </c>
      <c r="C17" s="20" t="inlineStr">
        <is>
          <t>Drawing index</t>
        </is>
      </c>
      <c r="D17" s="20" t="inlineStr">
        <is>
          <t>Check the drawing index after processing</t>
        </is>
      </c>
      <c r="E17" s="21" t="inlineStr">
        <is>
          <t>Entity count and layer count populated for every sheet</t>
        </is>
      </c>
      <c r="F17" s="22" t="inlineStr">
        <is>
          <t>High</t>
        </is>
      </c>
      <c r="G17" s="23" t="inlineStr">
        <is>
          <t>Not started</t>
        </is>
      </c>
      <c r="H17" s="24" t="n"/>
      <c r="I17" s="25" t="n"/>
      <c r="J17" s="23" t="n"/>
      <c r="K17" s="24" t="n"/>
    </row>
    <row r="18" ht="30" customHeight="1">
      <c r="A18" s="26" t="inlineStr">
        <is>
          <t>DRW-04</t>
        </is>
      </c>
      <c r="B18" s="27" t="inlineStr">
        <is>
          <t>DrawLogix</t>
        </is>
      </c>
      <c r="C18" s="28" t="inlineStr">
        <is>
          <t>Take-off</t>
        </is>
      </c>
      <c r="D18" s="28" t="inlineStr">
        <is>
          <t>Run take-off on a drawing with known quantities</t>
        </is>
      </c>
      <c r="E18" s="29" t="inlineStr">
        <is>
          <t>Measurements produced, each naming its sheet and location</t>
        </is>
      </c>
      <c r="F18" s="30" t="inlineStr">
        <is>
          <t>High</t>
        </is>
      </c>
      <c r="G18" s="23" t="inlineStr">
        <is>
          <t>Not started</t>
        </is>
      </c>
      <c r="H18" s="24" t="n"/>
      <c r="I18" s="25" t="n"/>
      <c r="J18" s="23" t="n"/>
      <c r="K18" s="24" t="n"/>
    </row>
    <row r="19" ht="30" customHeight="1">
      <c r="A19" s="18" t="inlineStr">
        <is>
          <t>DRW-05</t>
        </is>
      </c>
      <c r="B19" s="19" t="inlineStr">
        <is>
          <t>DrawLogix</t>
        </is>
      </c>
      <c r="C19" s="20" t="inlineStr">
        <is>
          <t>Measurement to source</t>
        </is>
      </c>
      <c r="D19" s="20" t="inlineStr">
        <is>
          <t>Click a measurement</t>
        </is>
      </c>
      <c r="E19" s="21" t="inlineStr">
        <is>
          <t>The drawing opens at the region the measurement came from</t>
        </is>
      </c>
      <c r="F19" s="22" t="inlineStr">
        <is>
          <t>High</t>
        </is>
      </c>
      <c r="G19" s="23" t="inlineStr">
        <is>
          <t>Not started</t>
        </is>
      </c>
      <c r="H19" s="24" t="n"/>
      <c r="I19" s="25" t="n"/>
      <c r="J19" s="23" t="n"/>
      <c r="K19" s="24" t="n"/>
    </row>
    <row r="20" ht="30" customHeight="1">
      <c r="A20" s="26" t="inlineStr">
        <is>
          <t>DRW-06</t>
        </is>
      </c>
      <c r="B20" s="27" t="inlineStr">
        <is>
          <t>DrawLogix</t>
        </is>
      </c>
      <c r="C20" s="28" t="inlineStr">
        <is>
          <t>BIM Studio — draw</t>
        </is>
      </c>
      <c r="D20" s="28" t="inlineStr">
        <is>
          <t>Ask the assistant to draw a simple floor plan</t>
        </is>
      </c>
      <c r="E20" s="29" t="inlineStr">
        <is>
          <t>All requested elements placed, not just one</t>
        </is>
      </c>
      <c r="F20" s="30" t="inlineStr">
        <is>
          <t>High</t>
        </is>
      </c>
      <c r="G20" s="23" t="inlineStr">
        <is>
          <t>Not started</t>
        </is>
      </c>
      <c r="H20" s="24" t="n"/>
      <c r="I20" s="25" t="n"/>
      <c r="J20" s="23" t="n"/>
      <c r="K20" s="24" t="n"/>
    </row>
    <row r="21" ht="30" customHeight="1">
      <c r="A21" s="18" t="inlineStr">
        <is>
          <t>DRW-07</t>
        </is>
      </c>
      <c r="B21" s="19" t="inlineStr">
        <is>
          <t>DrawLogix</t>
        </is>
      </c>
      <c r="C21" s="20" t="inlineStr">
        <is>
          <t>Revision compare</t>
        </is>
      </c>
      <c r="D21" s="20" t="inlineStr">
        <is>
          <t>Upload a revised drawing and compare</t>
        </is>
      </c>
      <c r="E21" s="21" t="inlineStr">
        <is>
          <t>Changes between revisions highlighted</t>
        </is>
      </c>
      <c r="F21" s="32" t="inlineStr">
        <is>
          <t>Medium</t>
        </is>
      </c>
      <c r="G21" s="23" t="inlineStr">
        <is>
          <t>Not started</t>
        </is>
      </c>
      <c r="H21" s="24" t="n"/>
      <c r="I21" s="25" t="n"/>
      <c r="J21" s="23" t="n"/>
      <c r="K21" s="24" t="n"/>
    </row>
    <row r="22" ht="30" customHeight="1">
      <c r="A22" s="26" t="inlineStr">
        <is>
          <t>QNT-01</t>
        </is>
      </c>
      <c r="B22" s="27" t="inlineStr">
        <is>
          <t>QuantLogix</t>
        </is>
      </c>
      <c r="C22" s="28" t="inlineStr">
        <is>
          <t>BOQ generation</t>
        </is>
      </c>
      <c r="D22" s="28" t="inlineStr">
        <is>
          <t>Generate a bill from confirmed measurements</t>
        </is>
      </c>
      <c r="E22" s="29" t="inlineStr">
        <is>
          <t>Bill lines produced, grouped by division, units normalised</t>
        </is>
      </c>
      <c r="F22" s="30" t="inlineStr">
        <is>
          <t>High</t>
        </is>
      </c>
      <c r="G22" s="23" t="inlineStr">
        <is>
          <t>Not started</t>
        </is>
      </c>
      <c r="H22" s="24" t="n"/>
      <c r="I22" s="25" t="n"/>
      <c r="J22" s="23" t="n"/>
      <c r="K22" s="24" t="n"/>
    </row>
    <row r="23" ht="30" customHeight="1">
      <c r="A23" s="18" t="inlineStr">
        <is>
          <t>QNT-02</t>
        </is>
      </c>
      <c r="B23" s="19" t="inlineStr">
        <is>
          <t>QuantLogix</t>
        </is>
      </c>
      <c r="C23" s="20" t="inlineStr">
        <is>
          <t>Line to source trace</t>
        </is>
      </c>
      <c r="D23" s="20" t="inlineStr">
        <is>
          <t>Press Trace on any bill line</t>
        </is>
      </c>
      <c r="E23" s="21" t="inlineStr">
        <is>
          <t>The measurement, sheet and layer behind it are shown</t>
        </is>
      </c>
      <c r="F23" s="22" t="inlineStr">
        <is>
          <t>High</t>
        </is>
      </c>
      <c r="G23" s="23" t="inlineStr">
        <is>
          <t>Not started</t>
        </is>
      </c>
      <c r="H23" s="24" t="n"/>
      <c r="I23" s="25" t="n"/>
      <c r="J23" s="23" t="n"/>
      <c r="K23" s="24" t="n"/>
    </row>
    <row r="24" ht="30" customHeight="1">
      <c r="A24" s="26" t="inlineStr">
        <is>
          <t>QNT-03</t>
        </is>
      </c>
      <c r="B24" s="27" t="inlineStr">
        <is>
          <t>QuantLogix</t>
        </is>
      </c>
      <c r="C24" s="28" t="inlineStr">
        <is>
          <t>Correction cascade</t>
        </is>
      </c>
      <c r="D24" s="28" t="inlineStr">
        <is>
          <t>Change a confirmed measurement</t>
        </is>
      </c>
      <c r="E24" s="29" t="inlineStr">
        <is>
          <t>Downstream bill and price marked stale, with a list of what to re-run</t>
        </is>
      </c>
      <c r="F24" s="30" t="inlineStr">
        <is>
          <t>High</t>
        </is>
      </c>
      <c r="G24" s="23" t="inlineStr">
        <is>
          <t>Not started</t>
        </is>
      </c>
      <c r="H24" s="24" t="n"/>
      <c r="I24" s="25" t="n"/>
      <c r="J24" s="23" t="n"/>
      <c r="K24" s="24" t="n"/>
    </row>
    <row r="25" ht="30" customHeight="1">
      <c r="A25" s="18" t="inlineStr">
        <is>
          <t>QNT-04</t>
        </is>
      </c>
      <c r="B25" s="19" t="inlineStr">
        <is>
          <t>QuantLogix</t>
        </is>
      </c>
      <c r="C25" s="20" t="inlineStr">
        <is>
          <t>Reconciliation</t>
        </is>
      </c>
      <c r="D25" s="20" t="inlineStr">
        <is>
          <t>Compare generated bill to a supplied bill</t>
        </is>
      </c>
      <c r="E25" s="21" t="inlineStr">
        <is>
          <t>Differences listed line by line</t>
        </is>
      </c>
      <c r="F25" s="32" t="inlineStr">
        <is>
          <t>Medium</t>
        </is>
      </c>
      <c r="G25" s="23" t="inlineStr">
        <is>
          <t>Not started</t>
        </is>
      </c>
      <c r="H25" s="24" t="n"/>
      <c r="I25" s="25" t="n"/>
      <c r="J25" s="23" t="n"/>
      <c r="K25" s="24" t="n"/>
    </row>
    <row r="26" ht="30" customHeight="1">
      <c r="A26" s="26" t="inlineStr">
        <is>
          <t>CST-01</t>
        </is>
      </c>
      <c r="B26" s="27" t="inlineStr">
        <is>
          <t>CostLogix</t>
        </is>
      </c>
      <c r="C26" s="28" t="inlineStr">
        <is>
          <t>Rate application</t>
        </is>
      </c>
      <c r="D26" s="28" t="inlineStr">
        <is>
          <t>Price a bill from the rate library</t>
        </is>
      </c>
      <c r="E26" s="29" t="inlineStr">
        <is>
          <t>Every line priced; each rate names where it came from</t>
        </is>
      </c>
      <c r="F26" s="30" t="inlineStr">
        <is>
          <t>High</t>
        </is>
      </c>
      <c r="G26" s="23" t="inlineStr">
        <is>
          <t>Not started</t>
        </is>
      </c>
      <c r="H26" s="24" t="n"/>
      <c r="I26" s="25" t="n"/>
      <c r="J26" s="23" t="n"/>
      <c r="K26" s="24" t="n"/>
    </row>
    <row r="27" ht="30" customHeight="1">
      <c r="A27" s="18" t="inlineStr">
        <is>
          <t>CST-02</t>
        </is>
      </c>
      <c r="B27" s="19" t="inlineStr">
        <is>
          <t>CostLogix</t>
        </is>
      </c>
      <c r="C27" s="20" t="inlineStr">
        <is>
          <t>Rate override</t>
        </is>
      </c>
      <c r="D27" s="20" t="inlineStr">
        <is>
          <t>Override one rate by hand</t>
        </is>
      </c>
      <c r="E27" s="21" t="inlineStr">
        <is>
          <t>New rate applied, original retained, change on the audit trail</t>
        </is>
      </c>
      <c r="F27" s="22" t="inlineStr">
        <is>
          <t>High</t>
        </is>
      </c>
      <c r="G27" s="23" t="inlineStr">
        <is>
          <t>Not started</t>
        </is>
      </c>
      <c r="H27" s="24" t="n"/>
      <c r="I27" s="25" t="n"/>
      <c r="J27" s="23" t="n"/>
      <c r="K27" s="24" t="n"/>
    </row>
    <row r="28" ht="30" customHeight="1">
      <c r="A28" s="26" t="inlineStr">
        <is>
          <t>CST-03</t>
        </is>
      </c>
      <c r="B28" s="27" t="inlineStr">
        <is>
          <t>CostLogix</t>
        </is>
      </c>
      <c r="C28" s="28" t="inlineStr">
        <is>
          <t>Estimate build-up</t>
        </is>
      </c>
      <c r="D28" s="28" t="inlineStr">
        <is>
          <t>Open the estimate</t>
        </is>
      </c>
      <c r="E28" s="29" t="inlineStr">
        <is>
          <t>Priced bill, overheads, contingency and tender total all shown and adjustable</t>
        </is>
      </c>
      <c r="F28" s="31" t="inlineStr">
        <is>
          <t>Medium</t>
        </is>
      </c>
      <c r="G28" s="23" t="inlineStr">
        <is>
          <t>Not started</t>
        </is>
      </c>
      <c r="H28" s="24" t="n"/>
      <c r="I28" s="25" t="n"/>
      <c r="J28" s="23" t="n"/>
      <c r="K28" s="24" t="n"/>
    </row>
    <row r="29" ht="30" customHeight="1">
      <c r="A29" s="18" t="inlineStr">
        <is>
          <t>CST-04</t>
        </is>
      </c>
      <c r="B29" s="19" t="inlineStr">
        <is>
          <t>CostLogix</t>
        </is>
      </c>
      <c r="C29" s="20" t="inlineStr">
        <is>
          <t>Export</t>
        </is>
      </c>
      <c r="D29" s="20" t="inlineStr">
        <is>
          <t>Export the estimate</t>
        </is>
      </c>
      <c r="E29" s="21" t="inlineStr">
        <is>
          <t>File opens in Excel with the header details filled in</t>
        </is>
      </c>
      <c r="F29" s="32" t="inlineStr">
        <is>
          <t>Medium</t>
        </is>
      </c>
      <c r="G29" s="23" t="inlineStr">
        <is>
          <t>Not started</t>
        </is>
      </c>
      <c r="H29" s="24" t="n"/>
      <c r="I29" s="25" t="n"/>
      <c r="J29" s="23" t="n"/>
      <c r="K29" s="24" t="n"/>
    </row>
    <row r="30" ht="30" customHeight="1">
      <c r="A30" s="26" t="inlineStr">
        <is>
          <t>SCH-01</t>
        </is>
      </c>
      <c r="B30" s="27" t="inlineStr">
        <is>
          <t>ScheduleLogix</t>
        </is>
      </c>
      <c r="C30" s="28" t="inlineStr">
        <is>
          <t>Programme generation</t>
        </is>
      </c>
      <c r="D30" s="28" t="inlineStr">
        <is>
          <t>Build a programme from the bill</t>
        </is>
      </c>
      <c r="E30" s="29" t="inlineStr">
        <is>
          <t>Activities with durations and dependencies produced</t>
        </is>
      </c>
      <c r="F30" s="30" t="inlineStr">
        <is>
          <t>High</t>
        </is>
      </c>
      <c r="G30" s="23" t="inlineStr">
        <is>
          <t>Not started</t>
        </is>
      </c>
      <c r="H30" s="24" t="n"/>
      <c r="I30" s="25" t="n"/>
      <c r="J30" s="23" t="n"/>
      <c r="K30" s="24" t="n"/>
    </row>
    <row r="31" ht="30" customHeight="1">
      <c r="A31" s="18" t="inlineStr">
        <is>
          <t>SCH-02</t>
        </is>
      </c>
      <c r="B31" s="19" t="inlineStr">
        <is>
          <t>ScheduleLogix</t>
        </is>
      </c>
      <c r="C31" s="20" t="inlineStr">
        <is>
          <t>Critical path</t>
        </is>
      </c>
      <c r="D31" s="20" t="inlineStr">
        <is>
          <t>Check the critical path</t>
        </is>
      </c>
      <c r="E31" s="21" t="inlineStr">
        <is>
          <t>Critical activities identified and drive the end date</t>
        </is>
      </c>
      <c r="F31" s="22" t="inlineStr">
        <is>
          <t>High</t>
        </is>
      </c>
      <c r="G31" s="23" t="inlineStr">
        <is>
          <t>Not started</t>
        </is>
      </c>
      <c r="H31" s="24" t="n"/>
      <c r="I31" s="25" t="n"/>
      <c r="J31" s="23" t="n"/>
      <c r="K31" s="24" t="n"/>
    </row>
    <row r="32" ht="30" customHeight="1">
      <c r="A32" s="26" t="inlineStr">
        <is>
          <t>SCH-03</t>
        </is>
      </c>
      <c r="B32" s="27" t="inlineStr">
        <is>
          <t>ScheduleLogix</t>
        </is>
      </c>
      <c r="C32" s="28" t="inlineStr">
        <is>
          <t>Calendar</t>
        </is>
      </c>
      <c r="D32" s="28" t="inlineStr">
        <is>
          <t>Set a Gulf working week</t>
        </is>
      </c>
      <c r="E32" s="29" t="inlineStr">
        <is>
          <t>Durations recalculate against the new calendar</t>
        </is>
      </c>
      <c r="F32" s="31" t="inlineStr">
        <is>
          <t>Medium</t>
        </is>
      </c>
      <c r="G32" s="23" t="inlineStr">
        <is>
          <t>Not started</t>
        </is>
      </c>
      <c r="H32" s="24" t="n"/>
      <c r="I32" s="25" t="n"/>
      <c r="J32" s="23" t="n"/>
      <c r="K32" s="24" t="n"/>
    </row>
    <row r="33" ht="30" customHeight="1">
      <c r="A33" s="18" t="inlineStr">
        <is>
          <t>SCH-04</t>
        </is>
      </c>
      <c r="B33" s="19" t="inlineStr">
        <is>
          <t>ScheduleLogix</t>
        </is>
      </c>
      <c r="C33" s="20" t="inlineStr">
        <is>
          <t>Baseline</t>
        </is>
      </c>
      <c r="D33" s="20" t="inlineStr">
        <is>
          <t>Set and then move a baseline</t>
        </is>
      </c>
      <c r="E33" s="21" t="inlineStr">
        <is>
          <t>An unexplained baseline move is refused</t>
        </is>
      </c>
      <c r="F33" s="32" t="inlineStr">
        <is>
          <t>Medium</t>
        </is>
      </c>
      <c r="G33" s="23" t="inlineStr">
        <is>
          <t>Not started</t>
        </is>
      </c>
      <c r="H33" s="24" t="n"/>
      <c r="I33" s="25" t="n"/>
      <c r="J33" s="23" t="n"/>
      <c r="K33" s="24" t="n"/>
    </row>
    <row r="34" ht="30" customHeight="1">
      <c r="A34" s="26" t="inlineStr">
        <is>
          <t>PRC-01</t>
        </is>
      </c>
      <c r="B34" s="27" t="inlineStr">
        <is>
          <t>ProcureLogix</t>
        </is>
      </c>
      <c r="C34" s="28" t="inlineStr">
        <is>
          <t>Package grouping</t>
        </is>
      </c>
      <c r="D34" s="28" t="inlineStr">
        <is>
          <t>Group bill lines into packages</t>
        </is>
      </c>
      <c r="E34" s="29" t="inlineStr">
        <is>
          <t>Packages created with value, lines covered and lead time</t>
        </is>
      </c>
      <c r="F34" s="30" t="inlineStr">
        <is>
          <t>High</t>
        </is>
      </c>
      <c r="G34" s="23" t="inlineStr">
        <is>
          <t>Not started</t>
        </is>
      </c>
      <c r="H34" s="24" t="n"/>
      <c r="I34" s="25" t="n"/>
      <c r="J34" s="23" t="n"/>
      <c r="K34" s="24" t="n"/>
    </row>
    <row r="35" ht="30" customHeight="1">
      <c r="A35" s="18" t="inlineStr">
        <is>
          <t>PRC-02</t>
        </is>
      </c>
      <c r="B35" s="19" t="inlineStr">
        <is>
          <t>ProcureLogix</t>
        </is>
      </c>
      <c r="C35" s="20" t="inlineStr">
        <is>
          <t>Package to bill trace</t>
        </is>
      </c>
      <c r="D35" s="20" t="inlineStr">
        <is>
          <t>Open a package</t>
        </is>
      </c>
      <c r="E35" s="21" t="inlineStr">
        <is>
          <t>The bill lines it covers are listed</t>
        </is>
      </c>
      <c r="F35" s="32" t="inlineStr">
        <is>
          <t>Medium</t>
        </is>
      </c>
      <c r="G35" s="23" t="inlineStr">
        <is>
          <t>Not started</t>
        </is>
      </c>
      <c r="H35" s="24" t="n"/>
      <c r="I35" s="25" t="n"/>
      <c r="J35" s="23" t="n"/>
      <c r="K35" s="24" t="n"/>
    </row>
    <row r="36" ht="30" customHeight="1">
      <c r="A36" s="26" t="inlineStr">
        <is>
          <t>NAR-01</t>
        </is>
      </c>
      <c r="B36" s="27" t="inlineStr">
        <is>
          <t>NarrativeLogix</t>
        </is>
      </c>
      <c r="C36" s="28" t="inlineStr">
        <is>
          <t>Narrative draft</t>
        </is>
      </c>
      <c r="D36" s="28" t="inlineStr">
        <is>
          <t>Generate the technical narrative</t>
        </is>
      </c>
      <c r="E36" s="29" t="inlineStr">
        <is>
          <t>A draft produced from confirmed project records only</t>
        </is>
      </c>
      <c r="F36" s="31" t="inlineStr">
        <is>
          <t>Medium</t>
        </is>
      </c>
      <c r="G36" s="23" t="inlineStr">
        <is>
          <t>Not started</t>
        </is>
      </c>
      <c r="H36" s="24" t="n"/>
      <c r="I36" s="25" t="n"/>
      <c r="J36" s="23" t="n"/>
      <c r="K36" s="24" t="n"/>
    </row>
    <row r="37" ht="30" customHeight="1">
      <c r="A37" s="18" t="inlineStr">
        <is>
          <t>PLT-01</t>
        </is>
      </c>
      <c r="B37" s="19" t="inlineStr">
        <is>
          <t>Platform</t>
        </is>
      </c>
      <c r="C37" s="20" t="inlineStr">
        <is>
          <t>Login</t>
        </is>
      </c>
      <c r="D37" s="20" t="inlineStr">
        <is>
          <t>Sign in as each role</t>
        </is>
      </c>
      <c r="E37" s="21" t="inlineStr">
        <is>
          <t>Correct workspace and permissions for each role</t>
        </is>
      </c>
      <c r="F37" s="22" t="inlineStr">
        <is>
          <t>High</t>
        </is>
      </c>
      <c r="G37" s="23" t="inlineStr">
        <is>
          <t>Not started</t>
        </is>
      </c>
      <c r="H37" s="24" t="n"/>
      <c r="I37" s="25" t="n"/>
      <c r="J37" s="23" t="n"/>
      <c r="K37" s="24" t="n"/>
    </row>
    <row r="38" ht="30" customHeight="1">
      <c r="A38" s="26" t="inlineStr">
        <is>
          <t>PLT-02</t>
        </is>
      </c>
      <c r="B38" s="27" t="inlineStr">
        <is>
          <t>Platform</t>
        </is>
      </c>
      <c r="C38" s="28" t="inlineStr">
        <is>
          <t>Review queue</t>
        </is>
      </c>
      <c r="D38" s="28" t="inlineStr">
        <is>
          <t>Confirm one proposal and reject another</t>
        </is>
      </c>
      <c r="E38" s="29" t="inlineStr">
        <is>
          <t>Both recorded against the tester's name, with time</t>
        </is>
      </c>
      <c r="F38" s="30" t="inlineStr">
        <is>
          <t>High</t>
        </is>
      </c>
      <c r="G38" s="23" t="inlineStr">
        <is>
          <t>Not started</t>
        </is>
      </c>
      <c r="H38" s="24" t="n"/>
      <c r="I38" s="25" t="n"/>
      <c r="J38" s="23" t="n"/>
      <c r="K38" s="24" t="n"/>
    </row>
    <row r="39" ht="30" customHeight="1">
      <c r="A39" s="18" t="inlineStr">
        <is>
          <t>PLT-03</t>
        </is>
      </c>
      <c r="B39" s="19" t="inlineStr">
        <is>
          <t>Platform</t>
        </is>
      </c>
      <c r="C39" s="20" t="inlineStr">
        <is>
          <t>Permission gate</t>
        </is>
      </c>
      <c r="D39" s="20" t="inlineStr">
        <is>
          <t>Sign in as a role without confirm rights</t>
        </is>
      </c>
      <c r="E39" s="21" t="inlineStr">
        <is>
          <t>Confirm button unavailable; API refuses the same action</t>
        </is>
      </c>
      <c r="F39" s="22" t="inlineStr">
        <is>
          <t>High</t>
        </is>
      </c>
      <c r="G39" s="23" t="inlineStr">
        <is>
          <t>Not started</t>
        </is>
      </c>
      <c r="H39" s="24" t="n"/>
      <c r="I39" s="25" t="n"/>
      <c r="J39" s="23" t="n"/>
      <c r="K39" s="24" t="n"/>
    </row>
    <row r="40" ht="30" customHeight="1">
      <c r="A40" s="26" t="inlineStr">
        <is>
          <t>PLT-04</t>
        </is>
      </c>
      <c r="B40" s="27" t="inlineStr">
        <is>
          <t>Platform</t>
        </is>
      </c>
      <c r="C40" s="28" t="inlineStr">
        <is>
          <t>Audit chain</t>
        </is>
      </c>
      <c r="D40" s="28" t="inlineStr">
        <is>
          <t>Press Verify audit chain</t>
        </is>
      </c>
      <c r="E40" s="29" t="inlineStr">
        <is>
          <t>Chain reports clean</t>
        </is>
      </c>
      <c r="F40" s="30" t="inlineStr">
        <is>
          <t>High</t>
        </is>
      </c>
      <c r="G40" s="23" t="inlineStr">
        <is>
          <t>Not started</t>
        </is>
      </c>
      <c r="H40" s="24" t="n"/>
      <c r="I40" s="25" t="n"/>
      <c r="J40" s="23" t="n"/>
      <c r="K40" s="24" t="n"/>
    </row>
    <row r="41" ht="30" customHeight="1">
      <c r="A41" s="18" t="inlineStr">
        <is>
          <t>PLT-05</t>
        </is>
      </c>
      <c r="B41" s="19" t="inlineStr">
        <is>
          <t>Platform</t>
        </is>
      </c>
      <c r="C41" s="20" t="inlineStr">
        <is>
          <t>Tenant isolation</t>
        </is>
      </c>
      <c r="D41" s="20" t="inlineStr">
        <is>
          <t>Attempt to open another tenant's project by ID</t>
        </is>
      </c>
      <c r="E41" s="21" t="inlineStr">
        <is>
          <t>Refused; nothing returned</t>
        </is>
      </c>
      <c r="F41" s="22" t="inlineStr">
        <is>
          <t>High</t>
        </is>
      </c>
      <c r="G41" s="23" t="inlineStr">
        <is>
          <t>Not started</t>
        </is>
      </c>
      <c r="H41" s="24" t="n"/>
      <c r="I41" s="25" t="n"/>
      <c r="J41" s="23" t="n"/>
      <c r="K41" s="24" t="n"/>
    </row>
    <row r="42" ht="30" customHeight="1">
      <c r="A42" s="26" t="inlineStr">
        <is>
          <t>PLT-06</t>
        </is>
      </c>
      <c r="B42" s="27" t="inlineStr">
        <is>
          <t>Platform</t>
        </is>
      </c>
      <c r="C42" s="28" t="inlineStr">
        <is>
          <t>Language</t>
        </is>
      </c>
      <c r="D42" s="28" t="inlineStr">
        <is>
          <t>Switch the workspace to Arabic</t>
        </is>
      </c>
      <c r="E42" s="29" t="inlineStr">
        <is>
          <t>Full right-to-left layout, same records and permissions</t>
        </is>
      </c>
      <c r="F42" s="31" t="inlineStr">
        <is>
          <t>Medium</t>
        </is>
      </c>
      <c r="G42" s="23" t="inlineStr">
        <is>
          <t>Not started</t>
        </is>
      </c>
      <c r="H42" s="24" t="n"/>
      <c r="I42" s="25" t="n"/>
      <c r="J42" s="23" t="n"/>
      <c r="K42" s="24" t="n"/>
    </row>
    <row r="43" ht="30" customHeight="1">
      <c r="A43" s="18" t="inlineStr">
        <is>
          <t>PLT-07</t>
        </is>
      </c>
      <c r="B43" s="19" t="inlineStr">
        <is>
          <t>Platform</t>
        </is>
      </c>
      <c r="C43" s="20" t="inlineStr">
        <is>
          <t>Autopilot</t>
        </is>
      </c>
      <c r="D43" s="20" t="inlineStr">
        <is>
          <t>Run a bid end to end on autopilot</t>
        </is>
      </c>
      <c r="E43" s="21" t="inlineStr">
        <is>
          <t>Every stage advances; start, stop and finish all on the audit trail</t>
        </is>
      </c>
      <c r="F43" s="32" t="inlineStr">
        <is>
          <t>Medium</t>
        </is>
      </c>
      <c r="G43" s="23" t="inlineStr">
        <is>
          <t>Not started</t>
        </is>
      </c>
      <c r="H43" s="24" t="n"/>
      <c r="I43" s="25" t="n"/>
      <c r="J43" s="23" t="n"/>
      <c r="K43" s="24" t="n"/>
    </row>
    <row r="44" ht="30" customHeight="1">
      <c r="A44" s="26" t="inlineStr">
        <is>
          <t>PLT-08</t>
        </is>
      </c>
      <c r="B44" s="27" t="inlineStr">
        <is>
          <t>Platform</t>
        </is>
      </c>
      <c r="C44" s="28" t="inlineStr">
        <is>
          <t>Blocked request</t>
        </is>
      </c>
      <c r="D44" s="28" t="inlineStr">
        <is>
          <t>Process an unclassified document</t>
        </is>
      </c>
      <c r="E44" s="29" t="inlineStr">
        <is>
          <t>Refused with a clear message, not a silent failure</t>
        </is>
      </c>
      <c r="F44" s="30" t="inlineStr">
        <is>
          <t>High</t>
        </is>
      </c>
      <c r="G44" s="23" t="inlineStr">
        <is>
          <t>Not started</t>
        </is>
      </c>
      <c r="H44" s="24" t="n"/>
      <c r="I44" s="25" t="n"/>
      <c r="J44" s="23" t="n"/>
      <c r="K44" s="24" t="n"/>
    </row>
  </sheetData>
  <autoFilter ref="A4:K44"/>
  <conditionalFormatting sqref="G5:G44">
    <cfRule type="cellIs" priority="1" operator="equal" dxfId="0">
      <formula>"Pass"</formula>
    </cfRule>
    <cfRule type="cellIs" priority="2" operator="equal" dxfId="1">
      <formula>"Fail"</formula>
    </cfRule>
    <cfRule type="cellIs" priority="3" operator="equal" dxfId="2">
      <formula>"Blocked"</formula>
    </cfRule>
  </conditionalFormatting>
  <dataValidations count="1">
    <dataValidation sqref="G5:G205" showDropDown="0" showInputMessage="0" showErrorMessage="0" allowBlank="1" error="Pick one of: Not started, Pass, Fail, Blocked, N/A" promptTitle="Result" prompt="Not started / Pass / Fail / Blocked / N/A" type="list">
      <formula1>"Not started,Pass,Fail,Blocked,N/A"</formula1>
    </dataValidation>
  </dataValidations>
  <pageMargins left="0.75" right="0.75" top="1" bottom="1" header="0.5" footer="0.5"/>
  <pageSetup orientation="landscape" fitToWidth="1"/>
</worksheet>
</file>

<file path=xl/worksheets/sheet4.xml><?xml version="1.0" encoding="utf-8"?>
<worksheet xmlns="http://schemas.openxmlformats.org/spreadsheetml/2006/main">
  <sheetPr>
    <tabColor rgb="008A5A12"/>
    <outlinePr summaryBelow="1" summaryRight="1"/>
    <pageSetUpPr fitToPage="1"/>
  </sheetPr>
  <dimension ref="A1:O23"/>
  <sheetViews>
    <sheetView showGridLines="0" workbookViewId="0">
      <pane ySplit="4" topLeftCell="A5" activePane="bottomLeft" state="frozen"/>
      <selection pane="bottomLeft" activeCell="A1" sqref="A1"/>
    </sheetView>
  </sheetViews>
  <sheetFormatPr baseColWidth="8" defaultRowHeight="15"/>
  <cols>
    <col width="8" customWidth="1" min="1" max="1"/>
    <col width="16" customWidth="1" min="2" max="2"/>
    <col width="30" customWidth="1" min="3" max="3"/>
    <col width="11" customWidth="1" min="4" max="4"/>
    <col width="10" customWidth="1" min="5" max="5"/>
    <col width="13" customWidth="1" min="6" max="6"/>
    <col width="13" customWidth="1" min="7" max="7"/>
    <col width="12" customWidth="1" min="8" max="8"/>
    <col width="12" customWidth="1" min="9" max="9"/>
    <col width="13" customWidth="1" min="10" max="10"/>
    <col width="13" customWidth="1" min="11" max="11"/>
    <col width="12" customWidth="1" min="12" max="12"/>
    <col width="14" customWidth="1" min="13" max="13"/>
    <col width="12" customWidth="1" min="14" max="14"/>
    <col width="26" customWidth="1" min="15" max="15"/>
  </cols>
  <sheetData>
    <row r="1" ht="26" customHeight="1">
      <c r="A1" s="1" t="inlineStr">
        <is>
          <t>Document processing — time and tokens by size</t>
        </is>
      </c>
    </row>
    <row r="2">
      <c r="A2" s="2" t="inlineStr">
        <is>
          <t>Three documents per size band, so one slow outlier does not set the result. Run each one twice: first time cold, second time to see whether reuse helps.</t>
        </is>
      </c>
    </row>
    <row r="4" ht="34" customHeight="1">
      <c r="A4" s="7" t="inlineStr">
        <is>
          <t>ID</t>
        </is>
      </c>
      <c r="B4" s="7" t="inlineStr">
        <is>
          <t>Size band</t>
        </is>
      </c>
      <c r="C4" s="7" t="inlineStr">
        <is>
          <t>File used</t>
        </is>
      </c>
      <c r="D4" s="7" t="inlineStr">
        <is>
          <t>Size MB</t>
        </is>
      </c>
      <c r="E4" s="7" t="inlineStr">
        <is>
          <t>Pages</t>
        </is>
      </c>
      <c r="F4" s="7" t="inlineStr">
        <is>
          <t>Target sec</t>
        </is>
      </c>
      <c r="G4" s="7" t="inlineStr">
        <is>
          <t>Run 1 sec</t>
        </is>
      </c>
      <c r="H4" s="7" t="inlineStr">
        <is>
          <t>Run 2 sec</t>
        </is>
      </c>
      <c r="I4" s="7" t="inlineStr">
        <is>
          <t>Avg sec</t>
        </is>
      </c>
      <c r="J4" s="7" t="inlineStr">
        <is>
          <t>Tokens in</t>
        </is>
      </c>
      <c r="K4" s="7" t="inlineStr">
        <is>
          <t>Tokens out</t>
        </is>
      </c>
      <c r="L4" s="7" t="inlineStr">
        <is>
          <t>Result</t>
        </is>
      </c>
      <c r="M4" s="7" t="inlineStr">
        <is>
          <t>Tokens/page</t>
        </is>
      </c>
      <c r="N4" s="7" t="inlineStr">
        <is>
          <t>Tester</t>
        </is>
      </c>
      <c r="O4" s="7" t="inlineStr">
        <is>
          <t>Notes</t>
        </is>
      </c>
    </row>
    <row r="5" ht="22" customHeight="1">
      <c r="A5" s="33" t="inlineStr">
        <is>
          <t>DOC-A1</t>
        </is>
      </c>
      <c r="B5" s="34" t="inlineStr">
        <is>
          <t>&lt; 0.5 MB</t>
        </is>
      </c>
      <c r="C5" s="35" t="n"/>
      <c r="D5" s="36" t="n"/>
      <c r="E5" s="36" t="n"/>
      <c r="F5" s="37" t="n">
        <v>10</v>
      </c>
      <c r="G5" s="36" t="n"/>
      <c r="H5" s="36" t="n"/>
      <c r="I5" s="38">
        <f>IF(COUNT(G5:H5)=0,"",AVERAGE(G5:H5))</f>
        <v/>
      </c>
      <c r="J5" s="36" t="n"/>
      <c r="K5" s="36" t="n"/>
      <c r="L5" s="39">
        <f>IF(I5="","Not started",IF(I5&lt;=F5,"Pass","Fail"))</f>
        <v/>
      </c>
      <c r="M5" s="40">
        <f>IF(OR(E5="",J5=""),"",(J5+K5)/E5)</f>
        <v/>
      </c>
      <c r="N5" s="35" t="n"/>
      <c r="O5" s="41" t="n"/>
    </row>
    <row r="6" ht="22" customHeight="1">
      <c r="A6" s="33" t="inlineStr">
        <is>
          <t>DOC-A2</t>
        </is>
      </c>
      <c r="B6" s="34" t="inlineStr">
        <is>
          <t>&lt; 0.5 MB</t>
        </is>
      </c>
      <c r="C6" s="35" t="n"/>
      <c r="D6" s="36" t="n"/>
      <c r="E6" s="36" t="n"/>
      <c r="F6" s="37" t="n">
        <v>10</v>
      </c>
      <c r="G6" s="36" t="n"/>
      <c r="H6" s="36" t="n"/>
      <c r="I6" s="38">
        <f>IF(COUNT(G6:H6)=0,"",AVERAGE(G6:H6))</f>
        <v/>
      </c>
      <c r="J6" s="36" t="n"/>
      <c r="K6" s="36" t="n"/>
      <c r="L6" s="39">
        <f>IF(I6="","Not started",IF(I6&lt;=F6,"Pass","Fail"))</f>
        <v/>
      </c>
      <c r="M6" s="40">
        <f>IF(OR(E6="",J6=""),"",(J6+K6)/E6)</f>
        <v/>
      </c>
      <c r="N6" s="35" t="n"/>
      <c r="O6" s="41" t="n"/>
    </row>
    <row r="7" ht="22" customHeight="1">
      <c r="A7" s="33" t="inlineStr">
        <is>
          <t>DOC-A3</t>
        </is>
      </c>
      <c r="B7" s="34" t="inlineStr">
        <is>
          <t>&lt; 0.5 MB</t>
        </is>
      </c>
      <c r="C7" s="35" t="n"/>
      <c r="D7" s="36" t="n"/>
      <c r="E7" s="36" t="n"/>
      <c r="F7" s="37" t="n">
        <v>10</v>
      </c>
      <c r="G7" s="36" t="n"/>
      <c r="H7" s="36" t="n"/>
      <c r="I7" s="38">
        <f>IF(COUNT(G7:H7)=0,"",AVERAGE(G7:H7))</f>
        <v/>
      </c>
      <c r="J7" s="36" t="n"/>
      <c r="K7" s="36" t="n"/>
      <c r="L7" s="39">
        <f>IF(I7="","Not started",IF(I7&lt;=F7,"Pass","Fail"))</f>
        <v/>
      </c>
      <c r="M7" s="40">
        <f>IF(OR(E7="",J7=""),"",(J7+K7)/E7)</f>
        <v/>
      </c>
      <c r="N7" s="35" t="n"/>
      <c r="O7" s="41" t="n"/>
    </row>
    <row r="8" ht="22" customHeight="1">
      <c r="A8" s="33" t="inlineStr">
        <is>
          <t>DOC-B1</t>
        </is>
      </c>
      <c r="B8" s="34" t="inlineStr">
        <is>
          <t>0.5 – 2 MB</t>
        </is>
      </c>
      <c r="C8" s="35" t="n"/>
      <c r="D8" s="36" t="n"/>
      <c r="E8" s="36" t="n"/>
      <c r="F8" s="37" t="n">
        <v>30</v>
      </c>
      <c r="G8" s="36" t="n"/>
      <c r="H8" s="36" t="n"/>
      <c r="I8" s="38">
        <f>IF(COUNT(G8:H8)=0,"",AVERAGE(G8:H8))</f>
        <v/>
      </c>
      <c r="J8" s="36" t="n"/>
      <c r="K8" s="36" t="n"/>
      <c r="L8" s="39">
        <f>IF(I8="","Not started",IF(I8&lt;=F8,"Pass","Fail"))</f>
        <v/>
      </c>
      <c r="M8" s="40">
        <f>IF(OR(E8="",J8=""),"",(J8+K8)/E8)</f>
        <v/>
      </c>
      <c r="N8" s="35" t="n"/>
      <c r="O8" s="41" t="n"/>
    </row>
    <row r="9" ht="22" customHeight="1">
      <c r="A9" s="33" t="inlineStr">
        <is>
          <t>DOC-B2</t>
        </is>
      </c>
      <c r="B9" s="34" t="inlineStr">
        <is>
          <t>0.5 – 2 MB</t>
        </is>
      </c>
      <c r="C9" s="35" t="n"/>
      <c r="D9" s="36" t="n"/>
      <c r="E9" s="36" t="n"/>
      <c r="F9" s="37" t="n">
        <v>30</v>
      </c>
      <c r="G9" s="36" t="n"/>
      <c r="H9" s="36" t="n"/>
      <c r="I9" s="38">
        <f>IF(COUNT(G9:H9)=0,"",AVERAGE(G9:H9))</f>
        <v/>
      </c>
      <c r="J9" s="36" t="n"/>
      <c r="K9" s="36" t="n"/>
      <c r="L9" s="39">
        <f>IF(I9="","Not started",IF(I9&lt;=F9,"Pass","Fail"))</f>
        <v/>
      </c>
      <c r="M9" s="40">
        <f>IF(OR(E9="",J9=""),"",(J9+K9)/E9)</f>
        <v/>
      </c>
      <c r="N9" s="35" t="n"/>
      <c r="O9" s="41" t="n"/>
    </row>
    <row r="10" ht="22" customHeight="1">
      <c r="A10" s="33" t="inlineStr">
        <is>
          <t>DOC-B3</t>
        </is>
      </c>
      <c r="B10" s="34" t="inlineStr">
        <is>
          <t>0.5 – 2 MB</t>
        </is>
      </c>
      <c r="C10" s="35" t="n"/>
      <c r="D10" s="36" t="n"/>
      <c r="E10" s="36" t="n"/>
      <c r="F10" s="37" t="n">
        <v>30</v>
      </c>
      <c r="G10" s="36" t="n"/>
      <c r="H10" s="36" t="n"/>
      <c r="I10" s="38">
        <f>IF(COUNT(G10:H10)=0,"",AVERAGE(G10:H10))</f>
        <v/>
      </c>
      <c r="J10" s="36" t="n"/>
      <c r="K10" s="36" t="n"/>
      <c r="L10" s="39">
        <f>IF(I10="","Not started",IF(I10&lt;=F10,"Pass","Fail"))</f>
        <v/>
      </c>
      <c r="M10" s="40">
        <f>IF(OR(E10="",J10=""),"",(J10+K10)/E10)</f>
        <v/>
      </c>
      <c r="N10" s="35" t="n"/>
      <c r="O10" s="41" t="n"/>
    </row>
    <row r="11" ht="22" customHeight="1">
      <c r="A11" s="33" t="inlineStr">
        <is>
          <t>DOC-C1</t>
        </is>
      </c>
      <c r="B11" s="34" t="inlineStr">
        <is>
          <t>2 – 8 MB</t>
        </is>
      </c>
      <c r="C11" s="35" t="n"/>
      <c r="D11" s="36" t="n"/>
      <c r="E11" s="36" t="n"/>
      <c r="F11" s="37" t="n">
        <v>90</v>
      </c>
      <c r="G11" s="36" t="n"/>
      <c r="H11" s="36" t="n"/>
      <c r="I11" s="38">
        <f>IF(COUNT(G11:H11)=0,"",AVERAGE(G11:H11))</f>
        <v/>
      </c>
      <c r="J11" s="36" t="n"/>
      <c r="K11" s="36" t="n"/>
      <c r="L11" s="39">
        <f>IF(I11="","Not started",IF(I11&lt;=F11,"Pass","Fail"))</f>
        <v/>
      </c>
      <c r="M11" s="40">
        <f>IF(OR(E11="",J11=""),"",(J11+K11)/E11)</f>
        <v/>
      </c>
      <c r="N11" s="35" t="n"/>
      <c r="O11" s="41" t="n"/>
    </row>
    <row r="12" ht="22" customHeight="1">
      <c r="A12" s="33" t="inlineStr">
        <is>
          <t>DOC-C2</t>
        </is>
      </c>
      <c r="B12" s="34" t="inlineStr">
        <is>
          <t>2 – 8 MB</t>
        </is>
      </c>
      <c r="C12" s="35" t="n"/>
      <c r="D12" s="36" t="n"/>
      <c r="E12" s="36" t="n"/>
      <c r="F12" s="37" t="n">
        <v>90</v>
      </c>
      <c r="G12" s="36" t="n"/>
      <c r="H12" s="36" t="n"/>
      <c r="I12" s="38">
        <f>IF(COUNT(G12:H12)=0,"",AVERAGE(G12:H12))</f>
        <v/>
      </c>
      <c r="J12" s="36" t="n"/>
      <c r="K12" s="36" t="n"/>
      <c r="L12" s="39">
        <f>IF(I12="","Not started",IF(I12&lt;=F12,"Pass","Fail"))</f>
        <v/>
      </c>
      <c r="M12" s="40">
        <f>IF(OR(E12="",J12=""),"",(J12+K12)/E12)</f>
        <v/>
      </c>
      <c r="N12" s="35" t="n"/>
      <c r="O12" s="41" t="n"/>
    </row>
    <row r="13" ht="22" customHeight="1">
      <c r="A13" s="33" t="inlineStr">
        <is>
          <t>DOC-C3</t>
        </is>
      </c>
      <c r="B13" s="34" t="inlineStr">
        <is>
          <t>2 – 8 MB</t>
        </is>
      </c>
      <c r="C13" s="35" t="n"/>
      <c r="D13" s="36" t="n"/>
      <c r="E13" s="36" t="n"/>
      <c r="F13" s="37" t="n">
        <v>90</v>
      </c>
      <c r="G13" s="36" t="n"/>
      <c r="H13" s="36" t="n"/>
      <c r="I13" s="38">
        <f>IF(COUNT(G13:H13)=0,"",AVERAGE(G13:H13))</f>
        <v/>
      </c>
      <c r="J13" s="36" t="n"/>
      <c r="K13" s="36" t="n"/>
      <c r="L13" s="39">
        <f>IF(I13="","Not started",IF(I13&lt;=F13,"Pass","Fail"))</f>
        <v/>
      </c>
      <c r="M13" s="40">
        <f>IF(OR(E13="",J13=""),"",(J13+K13)/E13)</f>
        <v/>
      </c>
      <c r="N13" s="35" t="n"/>
      <c r="O13" s="41" t="n"/>
    </row>
    <row r="14" ht="22" customHeight="1">
      <c r="A14" s="33" t="inlineStr">
        <is>
          <t>DOC-D1</t>
        </is>
      </c>
      <c r="B14" s="34" t="inlineStr">
        <is>
          <t>8 – 32 MB</t>
        </is>
      </c>
      <c r="C14" s="35" t="n"/>
      <c r="D14" s="36" t="n"/>
      <c r="E14" s="36" t="n"/>
      <c r="F14" s="37" t="n">
        <v>300</v>
      </c>
      <c r="G14" s="36" t="n"/>
      <c r="H14" s="36" t="n"/>
      <c r="I14" s="38">
        <f>IF(COUNT(G14:H14)=0,"",AVERAGE(G14:H14))</f>
        <v/>
      </c>
      <c r="J14" s="36" t="n"/>
      <c r="K14" s="36" t="n"/>
      <c r="L14" s="39">
        <f>IF(I14="","Not started",IF(I14&lt;=F14,"Pass","Fail"))</f>
        <v/>
      </c>
      <c r="M14" s="40">
        <f>IF(OR(E14="",J14=""),"",(J14+K14)/E14)</f>
        <v/>
      </c>
      <c r="N14" s="35" t="n"/>
      <c r="O14" s="41" t="n"/>
    </row>
    <row r="15" ht="22" customHeight="1">
      <c r="A15" s="33" t="inlineStr">
        <is>
          <t>DOC-D2</t>
        </is>
      </c>
      <c r="B15" s="34" t="inlineStr">
        <is>
          <t>8 – 32 MB</t>
        </is>
      </c>
      <c r="C15" s="35" t="n"/>
      <c r="D15" s="36" t="n"/>
      <c r="E15" s="36" t="n"/>
      <c r="F15" s="37" t="n">
        <v>300</v>
      </c>
      <c r="G15" s="36" t="n"/>
      <c r="H15" s="36" t="n"/>
      <c r="I15" s="38">
        <f>IF(COUNT(G15:H15)=0,"",AVERAGE(G15:H15))</f>
        <v/>
      </c>
      <c r="J15" s="36" t="n"/>
      <c r="K15" s="36" t="n"/>
      <c r="L15" s="39">
        <f>IF(I15="","Not started",IF(I15&lt;=F15,"Pass","Fail"))</f>
        <v/>
      </c>
      <c r="M15" s="40">
        <f>IF(OR(E15="",J15=""),"",(J15+K15)/E15)</f>
        <v/>
      </c>
      <c r="N15" s="35" t="n"/>
      <c r="O15" s="41" t="n"/>
    </row>
    <row r="16" ht="22" customHeight="1">
      <c r="A16" s="33" t="inlineStr">
        <is>
          <t>DOC-D3</t>
        </is>
      </c>
      <c r="B16" s="34" t="inlineStr">
        <is>
          <t>8 – 32 MB</t>
        </is>
      </c>
      <c r="C16" s="35" t="n"/>
      <c r="D16" s="36" t="n"/>
      <c r="E16" s="36" t="n"/>
      <c r="F16" s="37" t="n">
        <v>300</v>
      </c>
      <c r="G16" s="36" t="n"/>
      <c r="H16" s="36" t="n"/>
      <c r="I16" s="38">
        <f>IF(COUNT(G16:H16)=0,"",AVERAGE(G16:H16))</f>
        <v/>
      </c>
      <c r="J16" s="36" t="n"/>
      <c r="K16" s="36" t="n"/>
      <c r="L16" s="39">
        <f>IF(I16="","Not started",IF(I16&lt;=F16,"Pass","Fail"))</f>
        <v/>
      </c>
      <c r="M16" s="40">
        <f>IF(OR(E16="",J16=""),"",(J16+K16)/E16)</f>
        <v/>
      </c>
      <c r="N16" s="35" t="n"/>
      <c r="O16" s="41" t="n"/>
    </row>
    <row r="17" ht="22" customHeight="1">
      <c r="A17" s="33" t="inlineStr">
        <is>
          <t>DOC-E1</t>
        </is>
      </c>
      <c r="B17" s="34" t="inlineStr">
        <is>
          <t>32 MB +</t>
        </is>
      </c>
      <c r="C17" s="35" t="n"/>
      <c r="D17" s="36" t="n"/>
      <c r="E17" s="36" t="n"/>
      <c r="F17" s="37" t="n">
        <v>600</v>
      </c>
      <c r="G17" s="36" t="n"/>
      <c r="H17" s="36" t="n"/>
      <c r="I17" s="38">
        <f>IF(COUNT(G17:H17)=0,"",AVERAGE(G17:H17))</f>
        <v/>
      </c>
      <c r="J17" s="36" t="n"/>
      <c r="K17" s="36" t="n"/>
      <c r="L17" s="39">
        <f>IF(I17="","Not started",IF(I17&lt;=F17,"Pass","Fail"))</f>
        <v/>
      </c>
      <c r="M17" s="40">
        <f>IF(OR(E17="",J17=""),"",(J17+K17)/E17)</f>
        <v/>
      </c>
      <c r="N17" s="35" t="n"/>
      <c r="O17" s="41" t="n"/>
    </row>
    <row r="18" ht="22" customHeight="1">
      <c r="A18" s="33" t="inlineStr">
        <is>
          <t>DOC-E2</t>
        </is>
      </c>
      <c r="B18" s="34" t="inlineStr">
        <is>
          <t>32 MB +</t>
        </is>
      </c>
      <c r="C18" s="35" t="n"/>
      <c r="D18" s="36" t="n"/>
      <c r="E18" s="36" t="n"/>
      <c r="F18" s="37" t="n">
        <v>600</v>
      </c>
      <c r="G18" s="36" t="n"/>
      <c r="H18" s="36" t="n"/>
      <c r="I18" s="38">
        <f>IF(COUNT(G18:H18)=0,"",AVERAGE(G18:H18))</f>
        <v/>
      </c>
      <c r="J18" s="36" t="n"/>
      <c r="K18" s="36" t="n"/>
      <c r="L18" s="39">
        <f>IF(I18="","Not started",IF(I18&lt;=F18,"Pass","Fail"))</f>
        <v/>
      </c>
      <c r="M18" s="40">
        <f>IF(OR(E18="",J18=""),"",(J18+K18)/E18)</f>
        <v/>
      </c>
      <c r="N18" s="35" t="n"/>
      <c r="O18" s="41" t="n"/>
    </row>
    <row r="19" ht="22" customHeight="1">
      <c r="A19" s="33" t="inlineStr">
        <is>
          <t>DOC-E3</t>
        </is>
      </c>
      <c r="B19" s="34" t="inlineStr">
        <is>
          <t>32 MB +</t>
        </is>
      </c>
      <c r="C19" s="35" t="n"/>
      <c r="D19" s="36" t="n"/>
      <c r="E19" s="36" t="n"/>
      <c r="F19" s="37" t="n">
        <v>600</v>
      </c>
      <c r="G19" s="36" t="n"/>
      <c r="H19" s="36" t="n"/>
      <c r="I19" s="38">
        <f>IF(COUNT(G19:H19)=0,"",AVERAGE(G19:H19))</f>
        <v/>
      </c>
      <c r="J19" s="36" t="n"/>
      <c r="K19" s="36" t="n"/>
      <c r="L19" s="39">
        <f>IF(I19="","Not started",IF(I19&lt;=F19,"Pass","Fail"))</f>
        <v/>
      </c>
      <c r="M19" s="40">
        <f>IF(OR(E19="",J19=""),"",(J19+K19)/E19)</f>
        <v/>
      </c>
      <c r="N19" s="35" t="n"/>
      <c r="O19" s="41" t="n"/>
    </row>
    <row r="21">
      <c r="A21" s="3" t="inlineStr">
        <is>
          <t>Targets are proposals — agree them before testing</t>
        </is>
      </c>
    </row>
    <row r="22" ht="44" customHeight="1">
      <c r="A22" s="6" t="inlineStr">
        <is>
          <t>Today's live figures are 3.9 s under 0.5 MB, 10.5 s for 0.5–2 MB, 9.4 s for 2–8 MB, 5.4 s for 8–32 MB and 2.4 s above 32 MB. Note those get FASTER as files get bigger, which is not credible — it is worth understanding why before treating any of them as a baseline.</t>
        </is>
      </c>
    </row>
    <row r="23" ht="26" customHeight="1">
      <c r="A23" s="42" t="inlineStr">
        <is>
          <t>Tokens per page is the number to watch. If it is flat across every band, the token counter is still recording a placeholder rather than measuring.</t>
        </is>
      </c>
    </row>
  </sheetData>
  <autoFilter ref="A4:O19"/>
  <mergeCells count="2">
    <mergeCell ref="A23:H23"/>
    <mergeCell ref="A22:H22"/>
  </mergeCells>
  <conditionalFormatting sqref="L5:L19">
    <cfRule type="cellIs" priority="1" operator="equal" dxfId="0">
      <formula>"Pass"</formula>
    </cfRule>
    <cfRule type="cellIs" priority="2" operator="equal" dxfId="1">
      <formula>"Fail"</formula>
    </cfRule>
    <cfRule type="cellIs" priority="3" operator="equal" dxfId="2">
      <formula>"Blocked"</formula>
    </cfRule>
  </conditionalFormatting>
  <pageMargins left="0.75" right="0.75" top="1" bottom="1" header="0.5" footer="0.5"/>
  <pageSetup orientation="landscape" fitToWidth="1"/>
</worksheet>
</file>

<file path=xl/worksheets/sheet5.xml><?xml version="1.0" encoding="utf-8"?>
<worksheet xmlns="http://schemas.openxmlformats.org/spreadsheetml/2006/main">
  <sheetPr>
    <tabColor rgb="008A5A12"/>
    <outlinePr summaryBelow="1" summaryRight="1"/>
    <pageSetUpPr fitToPage="1"/>
  </sheetPr>
  <dimension ref="A1:P19"/>
  <sheetViews>
    <sheetView showGridLines="0" workbookViewId="0">
      <pane ySplit="4" topLeftCell="A5" activePane="bottomLeft" state="frozen"/>
      <selection pane="bottomLeft" activeCell="A1" sqref="A1"/>
    </sheetView>
  </sheetViews>
  <sheetFormatPr baseColWidth="8" defaultRowHeight="15"/>
  <cols>
    <col width="9" customWidth="1" min="1" max="1"/>
    <col width="14" customWidth="1" min="2" max="2"/>
    <col width="28" customWidth="1" min="3" max="3"/>
    <col width="10" customWidth="1" min="4" max="4"/>
    <col width="9" customWidth="1" min="5" max="5"/>
    <col width="10" customWidth="1" min="6" max="6"/>
    <col width="10" customWidth="1" min="7" max="7"/>
    <col width="12" customWidth="1" min="8" max="8"/>
    <col width="12" customWidth="1" min="9" max="9"/>
    <col width="12" customWidth="1" min="10" max="10"/>
    <col width="12" customWidth="1" min="11" max="11"/>
    <col width="12" customWidth="1" min="12" max="12"/>
    <col width="12" customWidth="1" min="13" max="13"/>
    <col width="13" customWidth="1" min="14" max="14"/>
    <col width="12" customWidth="1" min="15" max="15"/>
    <col width="26" customWidth="1" min="16" max="16"/>
  </cols>
  <sheetData>
    <row r="1" ht="26" customHeight="1">
      <c r="A1" s="1" t="inlineStr">
        <is>
          <t>Drawing processing — simple versus complex</t>
        </is>
      </c>
    </row>
    <row r="2">
      <c r="A2" s="2" t="inlineStr">
        <is>
          <t>Complexity is not file size. A 2 MB drawing with 40,000 entities across nine layers is harder than a 30 MB scan of a single plan.</t>
        </is>
      </c>
    </row>
    <row r="4" ht="34" customHeight="1">
      <c r="A4" s="7" t="inlineStr">
        <is>
          <t>ID</t>
        </is>
      </c>
      <c r="B4" s="7" t="inlineStr">
        <is>
          <t>Complexity</t>
        </is>
      </c>
      <c r="C4" s="7" t="inlineStr">
        <is>
          <t>Drawing used</t>
        </is>
      </c>
      <c r="D4" s="7" t="inlineStr">
        <is>
          <t>Format</t>
        </is>
      </c>
      <c r="E4" s="7" t="inlineStr">
        <is>
          <t>Sheets</t>
        </is>
      </c>
      <c r="F4" s="7" t="inlineStr">
        <is>
          <t>Layers</t>
        </is>
      </c>
      <c r="G4" s="7" t="inlineStr">
        <is>
          <t>Entities</t>
        </is>
      </c>
      <c r="H4" s="7" t="inlineStr">
        <is>
          <t>Size MB</t>
        </is>
      </c>
      <c r="I4" s="7" t="inlineStr">
        <is>
          <t>Target sec</t>
        </is>
      </c>
      <c r="J4" s="7" t="inlineStr">
        <is>
          <t>Run 1 sec</t>
        </is>
      </c>
      <c r="K4" s="7" t="inlineStr">
        <is>
          <t>Run 2 sec</t>
        </is>
      </c>
      <c r="L4" s="7" t="inlineStr">
        <is>
          <t>Avg sec</t>
        </is>
      </c>
      <c r="M4" s="7" t="inlineStr">
        <is>
          <t>Result</t>
        </is>
      </c>
      <c r="N4" s="7" t="inlineStr">
        <is>
          <t>Tokens total</t>
        </is>
      </c>
      <c r="O4" s="7" t="inlineStr">
        <is>
          <t>Tester</t>
        </is>
      </c>
      <c r="P4" s="7" t="inlineStr">
        <is>
          <t>Notes</t>
        </is>
      </c>
    </row>
    <row r="5" ht="22" customHeight="1">
      <c r="A5" s="33" t="inlineStr">
        <is>
          <t>DRW-SIM1</t>
        </is>
      </c>
      <c r="B5" s="34" t="inlineStr">
        <is>
          <t>Simple</t>
        </is>
      </c>
      <c r="C5" s="35" t="n"/>
      <c r="D5" s="36" t="n"/>
      <c r="E5" s="36" t="n"/>
      <c r="F5" s="36" t="n"/>
      <c r="G5" s="36" t="n"/>
      <c r="H5" s="36" t="n"/>
      <c r="I5" s="37" t="n">
        <v>30</v>
      </c>
      <c r="J5" s="36" t="n"/>
      <c r="K5" s="36" t="n"/>
      <c r="L5" s="38">
        <f>IF(COUNT(J5:K5)=0,"",AVERAGE(J5:K5))</f>
        <v/>
      </c>
      <c r="M5" s="39">
        <f>IF(L5="","Not started",IF(L5&lt;=I5,"Pass","Fail"))</f>
        <v/>
      </c>
      <c r="N5" s="36" t="n"/>
      <c r="O5" s="35" t="n"/>
      <c r="P5" s="43" t="inlineStr">
        <is>
          <t>Single sheet, one discipline, under 500 entities</t>
        </is>
      </c>
    </row>
    <row r="6" ht="22" customHeight="1">
      <c r="A6" s="33" t="inlineStr">
        <is>
          <t>DRW-SIM2</t>
        </is>
      </c>
      <c r="B6" s="34" t="inlineStr">
        <is>
          <t>Simple</t>
        </is>
      </c>
      <c r="C6" s="35" t="n"/>
      <c r="D6" s="36" t="n"/>
      <c r="E6" s="36" t="n"/>
      <c r="F6" s="36" t="n"/>
      <c r="G6" s="36" t="n"/>
      <c r="H6" s="36" t="n"/>
      <c r="I6" s="37" t="n">
        <v>30</v>
      </c>
      <c r="J6" s="36" t="n"/>
      <c r="K6" s="36" t="n"/>
      <c r="L6" s="38">
        <f>IF(COUNT(J6:K6)=0,"",AVERAGE(J6:K6))</f>
        <v/>
      </c>
      <c r="M6" s="39">
        <f>IF(L6="","Not started",IF(L6&lt;=I6,"Pass","Fail"))</f>
        <v/>
      </c>
      <c r="N6" s="36" t="n"/>
      <c r="O6" s="35" t="n"/>
      <c r="P6" s="44" t="n"/>
    </row>
    <row r="7" ht="22" customHeight="1">
      <c r="A7" s="33" t="inlineStr">
        <is>
          <t>DRW-SIM3</t>
        </is>
      </c>
      <c r="B7" s="34" t="inlineStr">
        <is>
          <t>Simple</t>
        </is>
      </c>
      <c r="C7" s="35" t="n"/>
      <c r="D7" s="36" t="n"/>
      <c r="E7" s="36" t="n"/>
      <c r="F7" s="36" t="n"/>
      <c r="G7" s="36" t="n"/>
      <c r="H7" s="36" t="n"/>
      <c r="I7" s="37" t="n">
        <v>30</v>
      </c>
      <c r="J7" s="36" t="n"/>
      <c r="K7" s="36" t="n"/>
      <c r="L7" s="38">
        <f>IF(COUNT(J7:K7)=0,"",AVERAGE(J7:K7))</f>
        <v/>
      </c>
      <c r="M7" s="39">
        <f>IF(L7="","Not started",IF(L7&lt;=I7,"Pass","Fail"))</f>
        <v/>
      </c>
      <c r="N7" s="36" t="n"/>
      <c r="O7" s="35" t="n"/>
      <c r="P7" s="44" t="n"/>
    </row>
    <row r="8" ht="22" customHeight="1">
      <c r="A8" s="33" t="inlineStr">
        <is>
          <t>DRW-MED1</t>
        </is>
      </c>
      <c r="B8" s="34" t="inlineStr">
        <is>
          <t>Medium</t>
        </is>
      </c>
      <c r="C8" s="35" t="n"/>
      <c r="D8" s="36" t="n"/>
      <c r="E8" s="36" t="n"/>
      <c r="F8" s="36" t="n"/>
      <c r="G8" s="36" t="n"/>
      <c r="H8" s="36" t="n"/>
      <c r="I8" s="37" t="n">
        <v>120</v>
      </c>
      <c r="J8" s="36" t="n"/>
      <c r="K8" s="36" t="n"/>
      <c r="L8" s="38">
        <f>IF(COUNT(J8:K8)=0,"",AVERAGE(J8:K8))</f>
        <v/>
      </c>
      <c r="M8" s="39">
        <f>IF(L8="","Not started",IF(L8&lt;=I8,"Pass","Fail"))</f>
        <v/>
      </c>
      <c r="N8" s="36" t="n"/>
      <c r="O8" s="35" t="n"/>
      <c r="P8" s="43" t="inlineStr">
        <is>
          <t>2–5 sheets, 2–3 disciplines, 500–5,000 entities</t>
        </is>
      </c>
    </row>
    <row r="9" ht="22" customHeight="1">
      <c r="A9" s="33" t="inlineStr">
        <is>
          <t>DRW-MED2</t>
        </is>
      </c>
      <c r="B9" s="34" t="inlineStr">
        <is>
          <t>Medium</t>
        </is>
      </c>
      <c r="C9" s="35" t="n"/>
      <c r="D9" s="36" t="n"/>
      <c r="E9" s="36" t="n"/>
      <c r="F9" s="36" t="n"/>
      <c r="G9" s="36" t="n"/>
      <c r="H9" s="36" t="n"/>
      <c r="I9" s="37" t="n">
        <v>120</v>
      </c>
      <c r="J9" s="36" t="n"/>
      <c r="K9" s="36" t="n"/>
      <c r="L9" s="38">
        <f>IF(COUNT(J9:K9)=0,"",AVERAGE(J9:K9))</f>
        <v/>
      </c>
      <c r="M9" s="39">
        <f>IF(L9="","Not started",IF(L9&lt;=I9,"Pass","Fail"))</f>
        <v/>
      </c>
      <c r="N9" s="36" t="n"/>
      <c r="O9" s="35" t="n"/>
      <c r="P9" s="44" t="n"/>
    </row>
    <row r="10" ht="22" customHeight="1">
      <c r="A10" s="33" t="inlineStr">
        <is>
          <t>DRW-MED3</t>
        </is>
      </c>
      <c r="B10" s="34" t="inlineStr">
        <is>
          <t>Medium</t>
        </is>
      </c>
      <c r="C10" s="35" t="n"/>
      <c r="D10" s="36" t="n"/>
      <c r="E10" s="36" t="n"/>
      <c r="F10" s="36" t="n"/>
      <c r="G10" s="36" t="n"/>
      <c r="H10" s="36" t="n"/>
      <c r="I10" s="37" t="n">
        <v>120</v>
      </c>
      <c r="J10" s="36" t="n"/>
      <c r="K10" s="36" t="n"/>
      <c r="L10" s="38">
        <f>IF(COUNT(J10:K10)=0,"",AVERAGE(J10:K10))</f>
        <v/>
      </c>
      <c r="M10" s="39">
        <f>IF(L10="","Not started",IF(L10&lt;=I10,"Pass","Fail"))</f>
        <v/>
      </c>
      <c r="N10" s="36" t="n"/>
      <c r="O10" s="35" t="n"/>
      <c r="P10" s="44" t="n"/>
    </row>
    <row r="11" ht="22" customHeight="1">
      <c r="A11" s="33" t="inlineStr">
        <is>
          <t>DRW-CPX1</t>
        </is>
      </c>
      <c r="B11" s="34" t="inlineStr">
        <is>
          <t>Complex</t>
        </is>
      </c>
      <c r="C11" s="35" t="n"/>
      <c r="D11" s="36" t="n"/>
      <c r="E11" s="36" t="n"/>
      <c r="F11" s="36" t="n"/>
      <c r="G11" s="36" t="n"/>
      <c r="H11" s="36" t="n"/>
      <c r="I11" s="37" t="n">
        <v>600</v>
      </c>
      <c r="J11" s="36" t="n"/>
      <c r="K11" s="36" t="n"/>
      <c r="L11" s="38">
        <f>IF(COUNT(J11:K11)=0,"",AVERAGE(J11:K11))</f>
        <v/>
      </c>
      <c r="M11" s="39">
        <f>IF(L11="","Not started",IF(L11&lt;=I11,"Pass","Fail"))</f>
        <v/>
      </c>
      <c r="N11" s="36" t="n"/>
      <c r="O11" s="35" t="n"/>
      <c r="P11" s="43" t="inlineStr">
        <is>
          <t>6+ sheets, multi-discipline, over 5,000 entities</t>
        </is>
      </c>
    </row>
    <row r="12" ht="22" customHeight="1">
      <c r="A12" s="33" t="inlineStr">
        <is>
          <t>DRW-CPX2</t>
        </is>
      </c>
      <c r="B12" s="34" t="inlineStr">
        <is>
          <t>Complex</t>
        </is>
      </c>
      <c r="C12" s="35" t="n"/>
      <c r="D12" s="36" t="n"/>
      <c r="E12" s="36" t="n"/>
      <c r="F12" s="36" t="n"/>
      <c r="G12" s="36" t="n"/>
      <c r="H12" s="36" t="n"/>
      <c r="I12" s="37" t="n">
        <v>600</v>
      </c>
      <c r="J12" s="36" t="n"/>
      <c r="K12" s="36" t="n"/>
      <c r="L12" s="38">
        <f>IF(COUNT(J12:K12)=0,"",AVERAGE(J12:K12))</f>
        <v/>
      </c>
      <c r="M12" s="39">
        <f>IF(L12="","Not started",IF(L12&lt;=I12,"Pass","Fail"))</f>
        <v/>
      </c>
      <c r="N12" s="36" t="n"/>
      <c r="O12" s="35" t="n"/>
      <c r="P12" s="44" t="n"/>
    </row>
    <row r="13" ht="22" customHeight="1">
      <c r="A13" s="33" t="inlineStr">
        <is>
          <t>DRW-CPX3</t>
        </is>
      </c>
      <c r="B13" s="34" t="inlineStr">
        <is>
          <t>Complex</t>
        </is>
      </c>
      <c r="C13" s="35" t="n"/>
      <c r="D13" s="36" t="n"/>
      <c r="E13" s="36" t="n"/>
      <c r="F13" s="36" t="n"/>
      <c r="G13" s="36" t="n"/>
      <c r="H13" s="36" t="n"/>
      <c r="I13" s="37" t="n">
        <v>600</v>
      </c>
      <c r="J13" s="36" t="n"/>
      <c r="K13" s="36" t="n"/>
      <c r="L13" s="38">
        <f>IF(COUNT(J13:K13)=0,"",AVERAGE(J13:K13))</f>
        <v/>
      </c>
      <c r="M13" s="39">
        <f>IF(L13="","Not started",IF(L13&lt;=I13,"Pass","Fail"))</f>
        <v/>
      </c>
      <c r="N13" s="36" t="n"/>
      <c r="O13" s="35" t="n"/>
      <c r="P13" s="44" t="n"/>
    </row>
    <row r="14" ht="22" customHeight="1">
      <c r="A14" s="33" t="inlineStr">
        <is>
          <t>DRW-SCN1</t>
        </is>
      </c>
      <c r="B14" s="34" t="inlineStr">
        <is>
          <t>Scanned</t>
        </is>
      </c>
      <c r="C14" s="35" t="n"/>
      <c r="D14" s="36" t="n"/>
      <c r="E14" s="36" t="n"/>
      <c r="F14" s="36" t="n"/>
      <c r="G14" s="36" t="n"/>
      <c r="H14" s="36" t="n"/>
      <c r="I14" s="37" t="n">
        <v>300</v>
      </c>
      <c r="J14" s="36" t="n"/>
      <c r="K14" s="36" t="n"/>
      <c r="L14" s="38">
        <f>IF(COUNT(J14:K14)=0,"",AVERAGE(J14:K14))</f>
        <v/>
      </c>
      <c r="M14" s="39">
        <f>IF(L14="","Not started",IF(L14&lt;=I14,"Pass","Fail"))</f>
        <v/>
      </c>
      <c r="N14" s="36" t="n"/>
      <c r="O14" s="35" t="n"/>
      <c r="P14" s="43" t="inlineStr">
        <is>
          <t>Raster PDF with no vector data at all</t>
        </is>
      </c>
    </row>
    <row r="15" ht="22" customHeight="1">
      <c r="A15" s="33" t="inlineStr">
        <is>
          <t>DRW-SCN2</t>
        </is>
      </c>
      <c r="B15" s="34" t="inlineStr">
        <is>
          <t>Scanned</t>
        </is>
      </c>
      <c r="C15" s="35" t="n"/>
      <c r="D15" s="36" t="n"/>
      <c r="E15" s="36" t="n"/>
      <c r="F15" s="36" t="n"/>
      <c r="G15" s="36" t="n"/>
      <c r="H15" s="36" t="n"/>
      <c r="I15" s="37" t="n">
        <v>300</v>
      </c>
      <c r="J15" s="36" t="n"/>
      <c r="K15" s="36" t="n"/>
      <c r="L15" s="38">
        <f>IF(COUNT(J15:K15)=0,"",AVERAGE(J15:K15))</f>
        <v/>
      </c>
      <c r="M15" s="39">
        <f>IF(L15="","Not started",IF(L15&lt;=I15,"Pass","Fail"))</f>
        <v/>
      </c>
      <c r="N15" s="36" t="n"/>
      <c r="O15" s="35" t="n"/>
      <c r="P15" s="44" t="n"/>
    </row>
    <row r="16" ht="22" customHeight="1">
      <c r="A16" s="33" t="inlineStr">
        <is>
          <t>DRW-SCN3</t>
        </is>
      </c>
      <c r="B16" s="34" t="inlineStr">
        <is>
          <t>Scanned</t>
        </is>
      </c>
      <c r="C16" s="35" t="n"/>
      <c r="D16" s="36" t="n"/>
      <c r="E16" s="36" t="n"/>
      <c r="F16" s="36" t="n"/>
      <c r="G16" s="36" t="n"/>
      <c r="H16" s="36" t="n"/>
      <c r="I16" s="37" t="n">
        <v>300</v>
      </c>
      <c r="J16" s="36" t="n"/>
      <c r="K16" s="36" t="n"/>
      <c r="L16" s="38">
        <f>IF(COUNT(J16:K16)=0,"",AVERAGE(J16:K16))</f>
        <v/>
      </c>
      <c r="M16" s="39">
        <f>IF(L16="","Not started",IF(L16&lt;=I16,"Pass","Fail"))</f>
        <v/>
      </c>
      <c r="N16" s="36" t="n"/>
      <c r="O16" s="35" t="n"/>
      <c r="P16" s="44" t="n"/>
    </row>
    <row r="18">
      <c r="A18" s="3" t="inlineStr">
        <is>
          <t>Record entities and layers for every drawing</t>
        </is>
      </c>
    </row>
    <row r="19" ht="40" customHeight="1">
      <c r="A19" s="6" t="inlineStr">
        <is>
          <t>Those two columns are what makes this sheet meaningful — they turn "it was slow" into "it was slow at 40,000 entities". Note that the live system currently returns no entity or layer count at all, so recording them by hand from the CAD file may be the only way until that is fixed.</t>
        </is>
      </c>
    </row>
  </sheetData>
  <autoFilter ref="A4:P16"/>
  <mergeCells count="1">
    <mergeCell ref="A19:I19"/>
  </mergeCells>
  <conditionalFormatting sqref="M5:M16">
    <cfRule type="cellIs" priority="1" operator="equal" dxfId="0">
      <formula>"Pass"</formula>
    </cfRule>
    <cfRule type="cellIs" priority="2" operator="equal" dxfId="1">
      <formula>"Fail"</formula>
    </cfRule>
    <cfRule type="cellIs" priority="3" operator="equal" dxfId="2">
      <formula>"Blocked"</formula>
    </cfRule>
  </conditionalFormatting>
  <pageMargins left="0.75" right="0.75" top="1" bottom="1" header="0.5" footer="0.5"/>
  <pageSetup orientation="landscape" fitToWidth="1"/>
</worksheet>
</file>

<file path=xl/worksheets/sheet6.xml><?xml version="1.0" encoding="utf-8"?>
<worksheet xmlns="http://schemas.openxmlformats.org/spreadsheetml/2006/main">
  <sheetPr>
    <tabColor rgb="000B5E52"/>
    <outlinePr summaryBelow="1" summaryRight="1"/>
    <pageSetUpPr fitToPage="1"/>
  </sheetPr>
  <dimension ref="A1:M25"/>
  <sheetViews>
    <sheetView showGridLines="0" workbookViewId="0">
      <pane ySplit="4" topLeftCell="A5" activePane="bottomLeft" state="frozen"/>
      <selection pane="bottomLeft" activeCell="A1" sqref="A1"/>
    </sheetView>
  </sheetViews>
  <sheetFormatPr baseColWidth="8" defaultRowHeight="15"/>
  <cols>
    <col width="8" customWidth="1" min="1" max="1"/>
    <col width="26" customWidth="1" min="2" max="2"/>
    <col width="40" customWidth="1" min="3" max="3"/>
    <col width="13" customWidth="1" min="4" max="4"/>
    <col width="13" customWidth="1" min="5" max="5"/>
    <col width="13" customWidth="1" min="6" max="6"/>
    <col width="13" customWidth="1" min="7" max="7"/>
    <col width="12" customWidth="1" min="8" max="8"/>
    <col width="13" customWidth="1" min="9" max="9"/>
    <col width="13" customWidth="1" min="10" max="10"/>
    <col width="13" customWidth="1" min="11" max="11"/>
    <col width="12" customWidth="1" min="12" max="12"/>
    <col width="26" customWidth="1" min="13" max="13"/>
  </cols>
  <sheetData>
    <row r="1" ht="26" customHeight="1">
      <c r="A1" s="1" t="inlineStr">
        <is>
          <t>Token usage per step</t>
        </is>
      </c>
    </row>
    <row r="2">
      <c r="A2" s="2" t="inlineStr">
        <is>
          <t>Run each step five times on the same project, then record the average.</t>
        </is>
      </c>
    </row>
    <row r="4" ht="34" customHeight="1">
      <c r="A4" s="7" t="inlineStr">
        <is>
          <t>ID</t>
        </is>
      </c>
      <c r="B4" s="7" t="inlineStr">
        <is>
          <t>Step</t>
        </is>
      </c>
      <c r="C4" s="7" t="inlineStr">
        <is>
          <t>What it does</t>
        </is>
      </c>
      <c r="D4" s="7" t="inlineStr">
        <is>
          <t>Runs</t>
        </is>
      </c>
      <c r="E4" s="7" t="inlineStr">
        <is>
          <t>Avg tokens in</t>
        </is>
      </c>
      <c r="F4" s="7" t="inlineStr">
        <is>
          <t>Avg tokens out</t>
        </is>
      </c>
      <c r="G4" s="7" t="inlineStr">
        <is>
          <t>Avg total</t>
        </is>
      </c>
      <c r="H4" s="7" t="inlineStr">
        <is>
          <t>Target</t>
        </is>
      </c>
      <c r="I4" s="7" t="inlineStr">
        <is>
          <t>Result</t>
        </is>
      </c>
      <c r="J4" s="7" t="inlineStr">
        <is>
          <t>Cost / run</t>
        </is>
      </c>
      <c r="K4" s="7" t="inlineStr">
        <is>
          <t>Worst run</t>
        </is>
      </c>
      <c r="L4" s="7" t="inlineStr">
        <is>
          <t>Tester</t>
        </is>
      </c>
      <c r="M4" s="7" t="inlineStr">
        <is>
          <t>Notes</t>
        </is>
      </c>
    </row>
    <row r="5" ht="22" customHeight="1">
      <c r="A5" s="33" t="inlineStr">
        <is>
          <t>TOK-01</t>
        </is>
      </c>
      <c r="B5" s="34" t="inlineStr">
        <is>
          <t>Reading documents</t>
        </is>
      </c>
      <c r="C5" s="43" t="inlineStr">
        <is>
          <t>Sorts and splits the uploaded tender pack</t>
        </is>
      </c>
      <c r="D5" s="36" t="n"/>
      <c r="E5" s="36" t="n"/>
      <c r="F5" s="36" t="n"/>
      <c r="G5" s="40">
        <f>IF(COUNT(E5:F5)=0,"",E5+F5)</f>
        <v/>
      </c>
      <c r="H5" s="37" t="n">
        <v>4000</v>
      </c>
      <c r="I5" s="39">
        <f>IF(G5="","Not started",IF(G5&lt;=H5,"Pass","Fail"))</f>
        <v/>
      </c>
      <c r="J5" s="45">
        <f>IF(G5="","",G5/1000*0.129)</f>
        <v/>
      </c>
      <c r="K5" s="36" t="n"/>
      <c r="L5" s="36" t="n"/>
      <c r="M5" s="41" t="n"/>
    </row>
    <row r="6" ht="22" customHeight="1">
      <c r="A6" s="33" t="inlineStr">
        <is>
          <t>TOK-02</t>
        </is>
      </c>
      <c r="B6" s="34" t="inlineStr">
        <is>
          <t>Tender reading</t>
        </is>
      </c>
      <c r="C6" s="43" t="inlineStr">
        <is>
          <t>Pulls summary, dates and requirements</t>
        </is>
      </c>
      <c r="D6" s="36" t="n"/>
      <c r="E6" s="36" t="n"/>
      <c r="F6" s="36" t="n"/>
      <c r="G6" s="40">
        <f>IF(COUNT(E6:F6)=0,"",E6+F6)</f>
        <v/>
      </c>
      <c r="H6" s="37" t="n">
        <v>8000</v>
      </c>
      <c r="I6" s="39">
        <f>IF(G6="","Not started",IF(G6&lt;=H6,"Pass","Fail"))</f>
        <v/>
      </c>
      <c r="J6" s="45">
        <f>IF(G6="","",G6/1000*0.129)</f>
        <v/>
      </c>
      <c r="K6" s="36" t="n"/>
      <c r="L6" s="36" t="n"/>
      <c r="M6" s="41" t="n"/>
    </row>
    <row r="7" ht="22" customHeight="1">
      <c r="A7" s="33" t="inlineStr">
        <is>
          <t>TOK-03</t>
        </is>
      </c>
      <c r="B7" s="34" t="inlineStr">
        <is>
          <t>Bid / no-bid decision</t>
        </is>
      </c>
      <c r="C7" s="43" t="inlineStr">
        <is>
          <t>Recommends whether to pursue</t>
        </is>
      </c>
      <c r="D7" s="36" t="n"/>
      <c r="E7" s="36" t="n"/>
      <c r="F7" s="36" t="n"/>
      <c r="G7" s="40">
        <f>IF(COUNT(E7:F7)=0,"",E7+F7)</f>
        <v/>
      </c>
      <c r="H7" s="37" t="n">
        <v>3000</v>
      </c>
      <c r="I7" s="39">
        <f>IF(G7="","Not started",IF(G7&lt;=H7,"Pass","Fail"))</f>
        <v/>
      </c>
      <c r="J7" s="45">
        <f>IF(G7="","",G7/1000*0.129)</f>
        <v/>
      </c>
      <c r="K7" s="36" t="n"/>
      <c r="L7" s="36" t="n"/>
      <c r="M7" s="41" t="n"/>
    </row>
    <row r="8" ht="22" customHeight="1">
      <c r="A8" s="33" t="inlineStr">
        <is>
          <t>TOK-04</t>
        </is>
      </c>
      <c r="B8" s="34" t="inlineStr">
        <is>
          <t>Specification reading</t>
        </is>
      </c>
      <c r="C8" s="43" t="inlineStr">
        <is>
          <t>Extracts clauses from the specification</t>
        </is>
      </c>
      <c r="D8" s="36" t="n"/>
      <c r="E8" s="36" t="n"/>
      <c r="F8" s="36" t="n"/>
      <c r="G8" s="40">
        <f>IF(COUNT(E8:F8)=0,"",E8+F8)</f>
        <v/>
      </c>
      <c r="H8" s="37" t="n">
        <v>8000</v>
      </c>
      <c r="I8" s="39">
        <f>IF(G8="","Not started",IF(G8&lt;=H8,"Pass","Fail"))</f>
        <v/>
      </c>
      <c r="J8" s="45">
        <f>IF(G8="","",G8/1000*0.129)</f>
        <v/>
      </c>
      <c r="K8" s="36" t="n"/>
      <c r="L8" s="36" t="n"/>
      <c r="M8" s="41" t="n"/>
    </row>
    <row r="9" ht="22" customHeight="1">
      <c r="A9" s="33" t="inlineStr">
        <is>
          <t>TOK-05</t>
        </is>
      </c>
      <c r="B9" s="34" t="inlineStr">
        <is>
          <t>Drawing indexing</t>
        </is>
      </c>
      <c r="C9" s="43" t="inlineStr">
        <is>
          <t>Catalogues each drawing sheet</t>
        </is>
      </c>
      <c r="D9" s="36" t="n"/>
      <c r="E9" s="36" t="n"/>
      <c r="F9" s="36" t="n"/>
      <c r="G9" s="40">
        <f>IF(COUNT(E9:F9)=0,"",E9+F9)</f>
        <v/>
      </c>
      <c r="H9" s="37" t="n">
        <v>3000</v>
      </c>
      <c r="I9" s="39">
        <f>IF(G9="","Not started",IF(G9&lt;=H9,"Pass","Fail"))</f>
        <v/>
      </c>
      <c r="J9" s="45">
        <f>IF(G9="","",G9/1000*0.129)</f>
        <v/>
      </c>
      <c r="K9" s="36" t="n"/>
      <c r="L9" s="36" t="n"/>
      <c r="M9" s="41" t="n"/>
    </row>
    <row r="10" ht="22" customHeight="1">
      <c r="A10" s="33" t="inlineStr">
        <is>
          <t>TOK-06</t>
        </is>
      </c>
      <c r="B10" s="34" t="inlineStr">
        <is>
          <t>Drawing take-off</t>
        </is>
      </c>
      <c r="C10" s="43" t="inlineStr">
        <is>
          <t>Measures quantities off the drawings</t>
        </is>
      </c>
      <c r="D10" s="36" t="n"/>
      <c r="E10" s="36" t="n"/>
      <c r="F10" s="36" t="n"/>
      <c r="G10" s="40">
        <f>IF(COUNT(E10:F10)=0,"",E10+F10)</f>
        <v/>
      </c>
      <c r="H10" s="37" t="n">
        <v>12000</v>
      </c>
      <c r="I10" s="39">
        <f>IF(G10="","Not started",IF(G10&lt;=H10,"Pass","Fail"))</f>
        <v/>
      </c>
      <c r="J10" s="45">
        <f>IF(G10="","",G10/1000*0.129)</f>
        <v/>
      </c>
      <c r="K10" s="36" t="n"/>
      <c r="L10" s="36" t="n"/>
      <c r="M10" s="41" t="n"/>
    </row>
    <row r="11" ht="22" customHeight="1">
      <c r="A11" s="33" t="inlineStr">
        <is>
          <t>TOK-07</t>
        </is>
      </c>
      <c r="B11" s="34" t="inlineStr">
        <is>
          <t>Bill of quantities</t>
        </is>
      </c>
      <c r="C11" s="43" t="inlineStr">
        <is>
          <t>Turns measurements into bill lines</t>
        </is>
      </c>
      <c r="D11" s="36" t="n"/>
      <c r="E11" s="36" t="n"/>
      <c r="F11" s="36" t="n"/>
      <c r="G11" s="40">
        <f>IF(COUNT(E11:F11)=0,"",E11+F11)</f>
        <v/>
      </c>
      <c r="H11" s="37" t="n">
        <v>6000</v>
      </c>
      <c r="I11" s="39">
        <f>IF(G11="","Not started",IF(G11&lt;=H11,"Pass","Fail"))</f>
        <v/>
      </c>
      <c r="J11" s="45">
        <f>IF(G11="","",G11/1000*0.129)</f>
        <v/>
      </c>
      <c r="K11" s="36" t="n"/>
      <c r="L11" s="36" t="n"/>
      <c r="M11" s="41" t="n"/>
    </row>
    <row r="12" ht="22" customHeight="1">
      <c r="A12" s="33" t="inlineStr">
        <is>
          <t>TOK-08</t>
        </is>
      </c>
      <c r="B12" s="34" t="inlineStr">
        <is>
          <t>Pricing</t>
        </is>
      </c>
      <c r="C12" s="43" t="inlineStr">
        <is>
          <t>Applies rates to the bill lines</t>
        </is>
      </c>
      <c r="D12" s="36" t="n"/>
      <c r="E12" s="36" t="n"/>
      <c r="F12" s="36" t="n"/>
      <c r="G12" s="40">
        <f>IF(COUNT(E12:F12)=0,"",E12+F12)</f>
        <v/>
      </c>
      <c r="H12" s="37" t="n">
        <v>4000</v>
      </c>
      <c r="I12" s="39">
        <f>IF(G12="","Not started",IF(G12&lt;=H12,"Pass","Fail"))</f>
        <v/>
      </c>
      <c r="J12" s="45">
        <f>IF(G12="","",G12/1000*0.129)</f>
        <v/>
      </c>
      <c r="K12" s="36" t="n"/>
      <c r="L12" s="36" t="n"/>
      <c r="M12" s="41" t="n"/>
    </row>
    <row r="13" ht="22" customHeight="1">
      <c r="A13" s="33" t="inlineStr">
        <is>
          <t>TOK-09</t>
        </is>
      </c>
      <c r="B13" s="34" t="inlineStr">
        <is>
          <t>Compliance checks</t>
        </is>
      </c>
      <c r="C13" s="43" t="inlineStr">
        <is>
          <t>Checks the bid against requirements</t>
        </is>
      </c>
      <c r="D13" s="36" t="n"/>
      <c r="E13" s="36" t="n"/>
      <c r="F13" s="36" t="n"/>
      <c r="G13" s="40">
        <f>IF(COUNT(E13:F13)=0,"",E13+F13)</f>
        <v/>
      </c>
      <c r="H13" s="37" t="n">
        <v>6000</v>
      </c>
      <c r="I13" s="39">
        <f>IF(G13="","Not started",IF(G13&lt;=H13,"Pass","Fail"))</f>
        <v/>
      </c>
      <c r="J13" s="45">
        <f>IF(G13="","",G13/1000*0.129)</f>
        <v/>
      </c>
      <c r="K13" s="36" t="n"/>
      <c r="L13" s="36" t="n"/>
      <c r="M13" s="41" t="n"/>
    </row>
    <row r="14" ht="22" customHeight="1">
      <c r="A14" s="33" t="inlineStr">
        <is>
          <t>TOK-10</t>
        </is>
      </c>
      <c r="B14" s="34" t="inlineStr">
        <is>
          <t>Risk assessment</t>
        </is>
      </c>
      <c r="C14" s="43" t="inlineStr">
        <is>
          <t>Flags risks on the bid</t>
        </is>
      </c>
      <c r="D14" s="36" t="n"/>
      <c r="E14" s="36" t="n"/>
      <c r="F14" s="36" t="n"/>
      <c r="G14" s="40">
        <f>IF(COUNT(E14:F14)=0,"",E14+F14)</f>
        <v/>
      </c>
      <c r="H14" s="37" t="n">
        <v>4000</v>
      </c>
      <c r="I14" s="39">
        <f>IF(G14="","Not started",IF(G14&lt;=H14,"Pass","Fail"))</f>
        <v/>
      </c>
      <c r="J14" s="45">
        <f>IF(G14="","",G14/1000*0.129)</f>
        <v/>
      </c>
      <c r="K14" s="36" t="n"/>
      <c r="L14" s="36" t="n"/>
      <c r="M14" s="41" t="n"/>
    </row>
    <row r="15" ht="22" customHeight="1">
      <c r="A15" s="33" t="inlineStr">
        <is>
          <t>TOK-11</t>
        </is>
      </c>
      <c r="B15" s="34" t="inlineStr">
        <is>
          <t>Programme / schedule</t>
        </is>
      </c>
      <c r="C15" s="43" t="inlineStr">
        <is>
          <t>Builds the works programme</t>
        </is>
      </c>
      <c r="D15" s="36" t="n"/>
      <c r="E15" s="36" t="n"/>
      <c r="F15" s="36" t="n"/>
      <c r="G15" s="40">
        <f>IF(COUNT(E15:F15)=0,"",E15+F15)</f>
        <v/>
      </c>
      <c r="H15" s="37" t="n">
        <v>6000</v>
      </c>
      <c r="I15" s="39">
        <f>IF(G15="","Not started",IF(G15&lt;=H15,"Pass","Fail"))</f>
        <v/>
      </c>
      <c r="J15" s="45">
        <f>IF(G15="","",G15/1000*0.129)</f>
        <v/>
      </c>
      <c r="K15" s="36" t="n"/>
      <c r="L15" s="36" t="n"/>
      <c r="M15" s="41" t="n"/>
    </row>
    <row r="16" ht="22" customHeight="1">
      <c r="A16" s="33" t="inlineStr">
        <is>
          <t>TOK-12</t>
        </is>
      </c>
      <c r="B16" s="34" t="inlineStr">
        <is>
          <t>Procurement packages</t>
        </is>
      </c>
      <c r="C16" s="43" t="inlineStr">
        <is>
          <t>Groups bill lines into packages</t>
        </is>
      </c>
      <c r="D16" s="36" t="n"/>
      <c r="E16" s="36" t="n"/>
      <c r="F16" s="36" t="n"/>
      <c r="G16" s="40">
        <f>IF(COUNT(E16:F16)=0,"",E16+F16)</f>
        <v/>
      </c>
      <c r="H16" s="37" t="n">
        <v>4000</v>
      </c>
      <c r="I16" s="39">
        <f>IF(G16="","Not started",IF(G16&lt;=H16,"Pass","Fail"))</f>
        <v/>
      </c>
      <c r="J16" s="45">
        <f>IF(G16="","",G16/1000*0.129)</f>
        <v/>
      </c>
      <c r="K16" s="36" t="n"/>
      <c r="L16" s="36" t="n"/>
      <c r="M16" s="41" t="n"/>
    </row>
    <row r="17" ht="22" customHeight="1">
      <c r="A17" s="33" t="inlineStr">
        <is>
          <t>TOK-13</t>
        </is>
      </c>
      <c r="B17" s="34" t="inlineStr">
        <is>
          <t>Technical narrative</t>
        </is>
      </c>
      <c r="C17" s="43" t="inlineStr">
        <is>
          <t>Writes the technical submission</t>
        </is>
      </c>
      <c r="D17" s="36" t="n"/>
      <c r="E17" s="36" t="n"/>
      <c r="F17" s="36" t="n"/>
      <c r="G17" s="40">
        <f>IF(COUNT(E17:F17)=0,"",E17+F17)</f>
        <v/>
      </c>
      <c r="H17" s="37" t="n">
        <v>10000</v>
      </c>
      <c r="I17" s="39">
        <f>IF(G17="","Not started",IF(G17&lt;=H17,"Pass","Fail"))</f>
        <v/>
      </c>
      <c r="J17" s="45">
        <f>IF(G17="","",G17/1000*0.129)</f>
        <v/>
      </c>
      <c r="K17" s="36" t="n"/>
      <c r="L17" s="36" t="n"/>
      <c r="M17" s="41" t="n"/>
    </row>
    <row r="18" ht="22" customHeight="1">
      <c r="A18" s="33" t="inlineStr">
        <is>
          <t>TOK-14</t>
        </is>
      </c>
      <c r="B18" s="34" t="inlineStr">
        <is>
          <t>Proposal writing</t>
        </is>
      </c>
      <c r="C18" s="43" t="inlineStr">
        <is>
          <t>Drafts the proposal document</t>
        </is>
      </c>
      <c r="D18" s="36" t="n"/>
      <c r="E18" s="36" t="n"/>
      <c r="F18" s="36" t="n"/>
      <c r="G18" s="40">
        <f>IF(COUNT(E18:F18)=0,"",E18+F18)</f>
        <v/>
      </c>
      <c r="H18" s="37" t="n">
        <v>10000</v>
      </c>
      <c r="I18" s="39">
        <f>IF(G18="","Not started",IF(G18&lt;=H18,"Pass","Fail"))</f>
        <v/>
      </c>
      <c r="J18" s="45">
        <f>IF(G18="","",G18/1000*0.129)</f>
        <v/>
      </c>
      <c r="K18" s="36" t="n"/>
      <c r="L18" s="36" t="n"/>
      <c r="M18" s="41" t="n"/>
    </row>
    <row r="19" ht="22" customHeight="1">
      <c r="A19" s="33" t="inlineStr">
        <is>
          <t>TOK-15</t>
        </is>
      </c>
      <c r="B19" s="34" t="inlineStr">
        <is>
          <t>Bid approval pack</t>
        </is>
      </c>
      <c r="C19" s="43" t="inlineStr">
        <is>
          <t>Assembles the approval pack</t>
        </is>
      </c>
      <c r="D19" s="36" t="n"/>
      <c r="E19" s="36" t="n"/>
      <c r="F19" s="36" t="n"/>
      <c r="G19" s="40">
        <f>IF(COUNT(E19:F19)=0,"",E19+F19)</f>
        <v/>
      </c>
      <c r="H19" s="37" t="n">
        <v>3000</v>
      </c>
      <c r="I19" s="39">
        <f>IF(G19="","Not started",IF(G19&lt;=H19,"Pass","Fail"))</f>
        <v/>
      </c>
      <c r="J19" s="45">
        <f>IF(G19="","",G19/1000*0.129)</f>
        <v/>
      </c>
      <c r="K19" s="36" t="n"/>
      <c r="L19" s="36" t="n"/>
      <c r="M19" s="41" t="n"/>
    </row>
    <row r="20" ht="22" customHeight="1">
      <c r="A20" s="33" t="inlineStr">
        <is>
          <t>TOK-16</t>
        </is>
      </c>
      <c r="B20" s="34" t="inlineStr">
        <is>
          <t>Client clarifications</t>
        </is>
      </c>
      <c r="C20" s="43" t="inlineStr">
        <is>
          <t>Drafts questions back to the client</t>
        </is>
      </c>
      <c r="D20" s="36" t="n"/>
      <c r="E20" s="36" t="n"/>
      <c r="F20" s="36" t="n"/>
      <c r="G20" s="40">
        <f>IF(COUNT(E20:F20)=0,"",E20+F20)</f>
        <v/>
      </c>
      <c r="H20" s="37" t="n">
        <v>3000</v>
      </c>
      <c r="I20" s="39">
        <f>IF(G20="","Not started",IF(G20&lt;=H20,"Pass","Fail"))</f>
        <v/>
      </c>
      <c r="J20" s="45">
        <f>IF(G20="","",G20/1000*0.129)</f>
        <v/>
      </c>
      <c r="K20" s="36" t="n"/>
      <c r="L20" s="36" t="n"/>
      <c r="M20" s="41" t="n"/>
    </row>
    <row r="21" ht="22" customHeight="1">
      <c r="A21" s="33" t="inlineStr">
        <is>
          <t>TOK-17</t>
        </is>
      </c>
      <c r="B21" s="34" t="inlineStr">
        <is>
          <t>Copilot answers</t>
        </is>
      </c>
      <c r="C21" s="43" t="inlineStr">
        <is>
          <t>Answers questions people ask</t>
        </is>
      </c>
      <c r="D21" s="36" t="n"/>
      <c r="E21" s="36" t="n"/>
      <c r="F21" s="36" t="n"/>
      <c r="G21" s="40">
        <f>IF(COUNT(E21:F21)=0,"",E21+F21)</f>
        <v/>
      </c>
      <c r="H21" s="37" t="n">
        <v>3000</v>
      </c>
      <c r="I21" s="39">
        <f>IF(G21="","Not started",IF(G21&lt;=H21,"Pass","Fail"))</f>
        <v/>
      </c>
      <c r="J21" s="45">
        <f>IF(G21="","",G21/1000*0.129)</f>
        <v/>
      </c>
      <c r="K21" s="36" t="n"/>
      <c r="L21" s="36" t="n"/>
      <c r="M21" s="41" t="n"/>
    </row>
    <row r="22">
      <c r="A22" s="15" t="n"/>
      <c r="B22" s="12" t="inlineStr">
        <is>
          <t>TOTAL per bid</t>
        </is>
      </c>
      <c r="C22" s="15" t="n"/>
      <c r="D22" s="15" t="n"/>
      <c r="E22" s="15" t="n"/>
      <c r="F22" s="15" t="n"/>
      <c r="G22" s="46">
        <f>SUM(G5:G21)</f>
        <v/>
      </c>
      <c r="H22" s="15" t="n"/>
      <c r="I22" s="15" t="n"/>
      <c r="J22" s="47">
        <f>SUM(J5:J21)</f>
        <v/>
      </c>
      <c r="K22" s="15" t="n"/>
      <c r="L22" s="15" t="n"/>
      <c r="M22" s="15" t="n"/>
    </row>
    <row r="24">
      <c r="A24" s="3" t="inlineStr">
        <is>
          <t>This total is the number the manager actually wants</t>
        </is>
      </c>
    </row>
    <row r="25" ht="44" customHeight="1">
      <c r="A25" s="6" t="inlineStr">
        <is>
          <t>Add up the step totals and you have the token cost of running one complete bid — which is the figure to multiply by bids per year. Targets in column H are first guesses; replace them with what engineering expects once one real bid has been measured. Cost uses the blended rate of $0.129 per 1,000 tokens.</t>
        </is>
      </c>
    </row>
  </sheetData>
  <mergeCells count="1">
    <mergeCell ref="A25:H25"/>
  </mergeCells>
  <conditionalFormatting sqref="I5:I21">
    <cfRule type="cellIs" priority="1" operator="equal" dxfId="0">
      <formula>"Pass"</formula>
    </cfRule>
    <cfRule type="cellIs" priority="2" operator="equal" dxfId="1">
      <formula>"Fail"</formula>
    </cfRule>
    <cfRule type="cellIs" priority="3" operator="equal" dxfId="2">
      <formula>"Blocked"</formula>
    </cfRule>
  </conditionalFormatting>
  <pageMargins left="0.75" right="0.75" top="1" bottom="1" header="0.5" footer="0.5"/>
  <pageSetup orientation="landscape" fitToWidth="1"/>
</worksheet>
</file>

<file path=xl/worksheets/sheet7.xml><?xml version="1.0" encoding="utf-8"?>
<worksheet xmlns="http://schemas.openxmlformats.org/spreadsheetml/2006/main">
  <sheetPr>
    <tabColor rgb="00A32A20"/>
    <outlinePr summaryBelow="1" summaryRight="1"/>
    <pageSetUpPr fitToPage="1"/>
  </sheetPr>
  <dimension ref="A1:N26"/>
  <sheetViews>
    <sheetView showGridLines="0" workbookViewId="0">
      <pane ySplit="4" topLeftCell="A5" activePane="bottomLeft" state="frozen"/>
      <selection pane="bottomLeft" activeCell="A1" sqref="A1"/>
    </sheetView>
  </sheetViews>
  <sheetFormatPr baseColWidth="8" defaultRowHeight="15"/>
  <cols>
    <col width="9" customWidth="1" min="1" max="1"/>
    <col width="26" customWidth="1" min="2" max="2"/>
    <col width="30" customWidth="1" min="3" max="3"/>
    <col width="12" customWidth="1" min="4" max="4"/>
    <col width="11" customWidth="1" min="5" max="5"/>
    <col width="11" customWidth="1" min="6" max="6"/>
    <col width="11" customWidth="1" min="7" max="7"/>
    <col width="12" customWidth="1" min="8" max="8"/>
    <col width="12" customWidth="1" min="9" max="9"/>
    <col width="12" customWidth="1" min="10" max="10"/>
    <col width="12" customWidth="1" min="11" max="11"/>
    <col width="13" customWidth="1" min="12" max="12"/>
    <col width="12" customWidth="1" min="13" max="13"/>
    <col width="26" customWidth="1" min="14" max="14"/>
  </cols>
  <sheetData>
    <row r="1" ht="26" customHeight="1">
      <c r="A1" s="1" t="inlineStr">
        <is>
          <t>Extraction accuracy</t>
        </is>
      </c>
    </row>
    <row r="2">
      <c r="A2" s="2" t="inlineStr">
        <is>
          <t>Take a sample, mark it by hand, and count. Correct / wrong / missed are typed in; the percentages calculate themselves.</t>
        </is>
      </c>
    </row>
    <row r="4" ht="34" customHeight="1">
      <c r="A4" s="7" t="inlineStr">
        <is>
          <t>ID</t>
        </is>
      </c>
      <c r="B4" s="7" t="inlineStr">
        <is>
          <t>What is extracted</t>
        </is>
      </c>
      <c r="C4" s="7" t="inlineStr">
        <is>
          <t>Test set used</t>
        </is>
      </c>
      <c r="D4" s="7" t="inlineStr">
        <is>
          <t>In truth</t>
        </is>
      </c>
      <c r="E4" s="7" t="inlineStr">
        <is>
          <t>Found</t>
        </is>
      </c>
      <c r="F4" s="7" t="inlineStr">
        <is>
          <t>Correct</t>
        </is>
      </c>
      <c r="G4" s="7" t="inlineStr">
        <is>
          <t>Wrong</t>
        </is>
      </c>
      <c r="H4" s="7" t="inlineStr">
        <is>
          <t>Missed</t>
        </is>
      </c>
      <c r="I4" s="7" t="inlineStr">
        <is>
          <t>Precision</t>
        </is>
      </c>
      <c r="J4" s="7" t="inlineStr">
        <is>
          <t>Recall</t>
        </is>
      </c>
      <c r="K4" s="7" t="inlineStr">
        <is>
          <t>F1</t>
        </is>
      </c>
      <c r="L4" s="7" t="inlineStr">
        <is>
          <t>Target recall</t>
        </is>
      </c>
      <c r="M4" s="7" t="inlineStr">
        <is>
          <t>Result</t>
        </is>
      </c>
      <c r="N4" s="7" t="inlineStr">
        <is>
          <t>Notes</t>
        </is>
      </c>
    </row>
    <row r="5" ht="24" customHeight="1">
      <c r="A5" s="33" t="inlineStr">
        <is>
          <t>ACC-01</t>
        </is>
      </c>
      <c r="B5" s="34" t="inlineStr">
        <is>
          <t>Tender requirements</t>
        </is>
      </c>
      <c r="C5" s="48" t="inlineStr">
        <is>
          <t>One real tender, requirements marked by an estimator</t>
        </is>
      </c>
      <c r="D5" s="36" t="n"/>
      <c r="E5" s="36" t="n"/>
      <c r="F5" s="36" t="n"/>
      <c r="G5" s="36" t="n"/>
      <c r="H5" s="36" t="n"/>
      <c r="I5" s="49">
        <f>IF(E5=0,"",F5/E5)</f>
        <v/>
      </c>
      <c r="J5" s="49">
        <f>IF(D5=0,"",F5/D5)</f>
        <v/>
      </c>
      <c r="K5" s="49">
        <f>IF(OR(I5="",J5="",I5+J5=0),"",2*I5*J5/(I5+J5))</f>
        <v/>
      </c>
      <c r="L5" s="50" t="n">
        <v>0.9</v>
      </c>
      <c r="M5" s="39">
        <f>IF(J5="","Not started",IF(J5&gt;=L5,"Pass","Fail"))</f>
        <v/>
      </c>
      <c r="N5" s="41" t="n"/>
    </row>
    <row r="6" ht="24" customHeight="1">
      <c r="A6" s="33" t="inlineStr">
        <is>
          <t>ACC-02</t>
        </is>
      </c>
      <c r="B6" s="34" t="inlineStr">
        <is>
          <t>Submission dates and format</t>
        </is>
      </c>
      <c r="C6" s="48" t="inlineStr">
        <is>
          <t>Same tender</t>
        </is>
      </c>
      <c r="D6" s="36" t="n"/>
      <c r="E6" s="36" t="n"/>
      <c r="F6" s="36" t="n"/>
      <c r="G6" s="36" t="n"/>
      <c r="H6" s="36" t="n"/>
      <c r="I6" s="49">
        <f>IF(E6=0,"",F6/E6)</f>
        <v/>
      </c>
      <c r="J6" s="49">
        <f>IF(D6=0,"",F6/D6)</f>
        <v/>
      </c>
      <c r="K6" s="49">
        <f>IF(OR(I6="",J6="",I6+J6=0),"",2*I6*J6/(I6+J6))</f>
        <v/>
      </c>
      <c r="L6" s="50" t="n">
        <v>0.95</v>
      </c>
      <c r="M6" s="39">
        <f>IF(J6="","Not started",IF(J6&gt;=L6,"Pass","Fail"))</f>
        <v/>
      </c>
      <c r="N6" s="41" t="n"/>
    </row>
    <row r="7" ht="24" customHeight="1">
      <c r="A7" s="33" t="inlineStr">
        <is>
          <t>ACC-03</t>
        </is>
      </c>
      <c r="B7" s="34" t="inlineStr">
        <is>
          <t>Specification clauses</t>
        </is>
      </c>
      <c r="C7" s="48" t="inlineStr">
        <is>
          <t>One specification, clauses marked by hand</t>
        </is>
      </c>
      <c r="D7" s="36" t="n"/>
      <c r="E7" s="36" t="n"/>
      <c r="F7" s="36" t="n"/>
      <c r="G7" s="36" t="n"/>
      <c r="H7" s="36" t="n"/>
      <c r="I7" s="49">
        <f>IF(E7=0,"",F7/E7)</f>
        <v/>
      </c>
      <c r="J7" s="49">
        <f>IF(D7=0,"",F7/D7)</f>
        <v/>
      </c>
      <c r="K7" s="49">
        <f>IF(OR(I7="",J7="",I7+J7=0),"",2*I7*J7/(I7+J7))</f>
        <v/>
      </c>
      <c r="L7" s="50" t="n">
        <v>0.9</v>
      </c>
      <c r="M7" s="39">
        <f>IF(J7="","Not started",IF(J7&gt;=L7,"Pass","Fail"))</f>
        <v/>
      </c>
      <c r="N7" s="41" t="n"/>
    </row>
    <row r="8" ht="24" customHeight="1">
      <c r="A8" s="33" t="inlineStr">
        <is>
          <t>ACC-04</t>
        </is>
      </c>
      <c r="B8" s="34" t="inlineStr">
        <is>
          <t>Document classification</t>
        </is>
      </c>
      <c r="C8" s="48" t="inlineStr">
        <is>
          <t>50 mixed documents, type labelled by hand</t>
        </is>
      </c>
      <c r="D8" s="36" t="n"/>
      <c r="E8" s="36" t="n"/>
      <c r="F8" s="36" t="n"/>
      <c r="G8" s="36" t="n"/>
      <c r="H8" s="36" t="n"/>
      <c r="I8" s="49">
        <f>IF(E8=0,"",F8/E8)</f>
        <v/>
      </c>
      <c r="J8" s="49">
        <f>IF(D8=0,"",F8/D8)</f>
        <v/>
      </c>
      <c r="K8" s="49">
        <f>IF(OR(I8="",J8="",I8+J8=0),"",2*I8*J8/(I8+J8))</f>
        <v/>
      </c>
      <c r="L8" s="50" t="n">
        <v>0.95</v>
      </c>
      <c r="M8" s="39">
        <f>IF(J8="","Not started",IF(J8&gt;=L8,"Pass","Fail"))</f>
        <v/>
      </c>
      <c r="N8" s="41" t="n"/>
    </row>
    <row r="9" ht="24" customHeight="1">
      <c r="A9" s="33" t="inlineStr">
        <is>
          <t>ACC-05</t>
        </is>
      </c>
      <c r="B9" s="34" t="inlineStr">
        <is>
          <t>Drawing sheet index</t>
        </is>
      </c>
      <c r="C9" s="48" t="inlineStr">
        <is>
          <t>One drawing set, sheets listed by hand</t>
        </is>
      </c>
      <c r="D9" s="36" t="n"/>
      <c r="E9" s="36" t="n"/>
      <c r="F9" s="36" t="n"/>
      <c r="G9" s="36" t="n"/>
      <c r="H9" s="36" t="n"/>
      <c r="I9" s="49">
        <f>IF(E9=0,"",F9/E9)</f>
        <v/>
      </c>
      <c r="J9" s="49">
        <f>IF(D9=0,"",F9/D9)</f>
        <v/>
      </c>
      <c r="K9" s="49">
        <f>IF(OR(I9="",J9="",I9+J9=0),"",2*I9*J9/(I9+J9))</f>
        <v/>
      </c>
      <c r="L9" s="50" t="n">
        <v>0.95</v>
      </c>
      <c r="M9" s="39">
        <f>IF(J9="","Not started",IF(J9&gt;=L9,"Pass","Fail"))</f>
        <v/>
      </c>
      <c r="N9" s="41" t="n"/>
    </row>
    <row r="10" ht="24" customHeight="1">
      <c r="A10" s="33" t="inlineStr">
        <is>
          <t>ACC-06</t>
        </is>
      </c>
      <c r="B10" s="34" t="inlineStr">
        <is>
          <t>Drawing measurements</t>
        </is>
      </c>
      <c r="C10" s="48" t="inlineStr">
        <is>
          <t>One drawing with quantities measured by a QS</t>
        </is>
      </c>
      <c r="D10" s="36" t="n"/>
      <c r="E10" s="36" t="n"/>
      <c r="F10" s="36" t="n"/>
      <c r="G10" s="36" t="n"/>
      <c r="H10" s="36" t="n"/>
      <c r="I10" s="49">
        <f>IF(E10=0,"",F10/E10)</f>
        <v/>
      </c>
      <c r="J10" s="49">
        <f>IF(D10=0,"",F10/D10)</f>
        <v/>
      </c>
      <c r="K10" s="49">
        <f>IF(OR(I10="",J10="",I10+J10=0),"",2*I10*J10/(I10+J10))</f>
        <v/>
      </c>
      <c r="L10" s="50" t="n">
        <v>0.9</v>
      </c>
      <c r="M10" s="39">
        <f>IF(J10="","Not started",IF(J10&gt;=L10,"Pass","Fail"))</f>
        <v/>
      </c>
      <c r="N10" s="41" t="n"/>
    </row>
    <row r="11" ht="24" customHeight="1">
      <c r="A11" s="33" t="inlineStr">
        <is>
          <t>ACC-07</t>
        </is>
      </c>
      <c r="B11" s="34" t="inlineStr">
        <is>
          <t>BOQ line generation</t>
        </is>
      </c>
      <c r="C11" s="48" t="inlineStr">
        <is>
          <t>Bill produced by hand from the same drawings</t>
        </is>
      </c>
      <c r="D11" s="36" t="n"/>
      <c r="E11" s="36" t="n"/>
      <c r="F11" s="36" t="n"/>
      <c r="G11" s="36" t="n"/>
      <c r="H11" s="36" t="n"/>
      <c r="I11" s="49">
        <f>IF(E11=0,"",F11/E11)</f>
        <v/>
      </c>
      <c r="J11" s="49">
        <f>IF(D11=0,"",F11/D11)</f>
        <v/>
      </c>
      <c r="K11" s="49">
        <f>IF(OR(I11="",J11="",I11+J11=0),"",2*I11*J11/(I11+J11))</f>
        <v/>
      </c>
      <c r="L11" s="50" t="n">
        <v>0.85</v>
      </c>
      <c r="M11" s="39">
        <f>IF(J11="","Not started",IF(J11&gt;=L11,"Pass","Fail"))</f>
        <v/>
      </c>
      <c r="N11" s="41" t="n"/>
    </row>
    <row r="12" ht="24" customHeight="1">
      <c r="A12" s="33" t="inlineStr">
        <is>
          <t>ACC-08</t>
        </is>
      </c>
      <c r="B12" s="34" t="inlineStr">
        <is>
          <t>Rate matching</t>
        </is>
      </c>
      <c r="C12" s="48" t="inlineStr">
        <is>
          <t>Bill priced by hand from the same rate library</t>
        </is>
      </c>
      <c r="D12" s="36" t="n"/>
      <c r="E12" s="36" t="n"/>
      <c r="F12" s="36" t="n"/>
      <c r="G12" s="36" t="n"/>
      <c r="H12" s="36" t="n"/>
      <c r="I12" s="49">
        <f>IF(E12=0,"",F12/E12)</f>
        <v/>
      </c>
      <c r="J12" s="49">
        <f>IF(D12=0,"",F12/D12)</f>
        <v/>
      </c>
      <c r="K12" s="49">
        <f>IF(OR(I12="",J12="",I12+J12=0),"",2*I12*J12/(I12+J12))</f>
        <v/>
      </c>
      <c r="L12" s="50" t="n">
        <v>0.9</v>
      </c>
      <c r="M12" s="39">
        <f>IF(J12="","Not started",IF(J12&gt;=L12,"Pass","Fail"))</f>
        <v/>
      </c>
      <c r="N12" s="41" t="n"/>
    </row>
    <row r="13" ht="24" customHeight="1">
      <c r="A13" s="33" t="inlineStr">
        <is>
          <t>ACC-09</t>
        </is>
      </c>
      <c r="B13" s="34" t="inlineStr">
        <is>
          <t>Programme activities</t>
        </is>
      </c>
      <c r="C13" s="48" t="inlineStr">
        <is>
          <t>Programme built by hand from the same bill</t>
        </is>
      </c>
      <c r="D13" s="36" t="n"/>
      <c r="E13" s="36" t="n"/>
      <c r="F13" s="36" t="n"/>
      <c r="G13" s="36" t="n"/>
      <c r="H13" s="36" t="n"/>
      <c r="I13" s="49">
        <f>IF(E13=0,"",F13/E13)</f>
        <v/>
      </c>
      <c r="J13" s="49">
        <f>IF(D13=0,"",F13/D13)</f>
        <v/>
      </c>
      <c r="K13" s="49">
        <f>IF(OR(I13="",J13="",I13+J13=0),"",2*I13*J13/(I13+J13))</f>
        <v/>
      </c>
      <c r="L13" s="50" t="n">
        <v>0.8</v>
      </c>
      <c r="M13" s="39">
        <f>IF(J13="","Not started",IF(J13&gt;=L13,"Pass","Fail"))</f>
        <v/>
      </c>
      <c r="N13" s="41" t="n"/>
    </row>
    <row r="14" ht="24" customHeight="1">
      <c r="A14" s="33" t="inlineStr">
        <is>
          <t>ACC-10</t>
        </is>
      </c>
      <c r="B14" s="34" t="inlineStr">
        <is>
          <t>Risk identification</t>
        </is>
      </c>
      <c r="C14" s="48" t="inlineStr">
        <is>
          <t>Risks listed by a bid manager</t>
        </is>
      </c>
      <c r="D14" s="36" t="n"/>
      <c r="E14" s="36" t="n"/>
      <c r="F14" s="36" t="n"/>
      <c r="G14" s="36" t="n"/>
      <c r="H14" s="36" t="n"/>
      <c r="I14" s="49">
        <f>IF(E14=0,"",F14/E14)</f>
        <v/>
      </c>
      <c r="J14" s="49">
        <f>IF(D14=0,"",F14/D14)</f>
        <v/>
      </c>
      <c r="K14" s="49">
        <f>IF(OR(I14="",J14="",I14+J14=0),"",2*I14*J14/(I14+J14))</f>
        <v/>
      </c>
      <c r="L14" s="50" t="n">
        <v>0.75</v>
      </c>
      <c r="M14" s="39">
        <f>IF(J14="","Not started",IF(J14&gt;=L14,"Pass","Fail"))</f>
        <v/>
      </c>
      <c r="N14" s="41" t="n"/>
    </row>
    <row r="16">
      <c r="A16" s="3" t="inlineStr">
        <is>
          <t>What the columns mean</t>
        </is>
      </c>
    </row>
    <row r="17" ht="18" customHeight="1">
      <c r="B17" s="16" t="inlineStr">
        <is>
          <t>In truth</t>
        </is>
      </c>
      <c r="C17" s="51" t="inlineStr">
        <is>
          <t>How many there actually are, counted by a person.</t>
        </is>
      </c>
    </row>
    <row r="18" ht="18" customHeight="1">
      <c r="B18" s="16" t="inlineStr">
        <is>
          <t>Found</t>
        </is>
      </c>
      <c r="C18" s="51" t="inlineStr">
        <is>
          <t>How many the system returned.</t>
        </is>
      </c>
    </row>
    <row r="19" ht="18" customHeight="1">
      <c r="B19" s="16" t="inlineStr">
        <is>
          <t>Correct</t>
        </is>
      </c>
      <c r="C19" s="51" t="inlineStr">
        <is>
          <t>How many of those found were right.</t>
        </is>
      </c>
    </row>
    <row r="20" ht="18" customHeight="1">
      <c r="B20" s="16" t="inlineStr">
        <is>
          <t>Wrong</t>
        </is>
      </c>
      <c r="C20" s="51" t="inlineStr">
        <is>
          <t>Found, but not actually there or not correct.</t>
        </is>
      </c>
    </row>
    <row r="21" ht="18" customHeight="1">
      <c r="B21" s="16" t="inlineStr">
        <is>
          <t>Missed</t>
        </is>
      </c>
      <c r="C21" s="51" t="inlineStr">
        <is>
          <t>Really there, but the system did not find them.</t>
        </is>
      </c>
    </row>
    <row r="22" ht="18" customHeight="1">
      <c r="B22" s="16" t="inlineStr">
        <is>
          <t>Precision</t>
        </is>
      </c>
      <c r="C22" s="51" t="inlineStr">
        <is>
          <t>Of what it found, how much was right. Correct / Found.</t>
        </is>
      </c>
    </row>
    <row r="23" ht="18" customHeight="1">
      <c r="B23" s="16" t="inlineStr">
        <is>
          <t>Recall</t>
        </is>
      </c>
      <c r="C23" s="51" t="inlineStr">
        <is>
          <t>Of what was there, how much it found. Correct / In truth.</t>
        </is>
      </c>
    </row>
    <row r="24" ht="18" customHeight="1">
      <c r="B24" s="16" t="inlineStr">
        <is>
          <t>F1</t>
        </is>
      </c>
      <c r="C24" s="51" t="inlineStr">
        <is>
          <t>The two combined into one number.</t>
        </is>
      </c>
    </row>
    <row r="26" ht="26" customHeight="1">
      <c r="B26" s="52" t="inlineStr">
        <is>
          <t>Recall matters more than precision here. A requirement the system invents will be spotted in review; a requirement it misses ends up in a contract nobody priced.</t>
        </is>
      </c>
    </row>
  </sheetData>
  <autoFilter ref="A4:N14"/>
  <mergeCells count="9">
    <mergeCell ref="C21:G21"/>
    <mergeCell ref="C20:G20"/>
    <mergeCell ref="C24:G24"/>
    <mergeCell ref="C19:G19"/>
    <mergeCell ref="C23:G23"/>
    <mergeCell ref="C22:G22"/>
    <mergeCell ref="C18:G18"/>
    <mergeCell ref="C17:G17"/>
    <mergeCell ref="B26:I26"/>
  </mergeCells>
  <conditionalFormatting sqref="M5:M14">
    <cfRule type="cellIs" priority="1" operator="equal" dxfId="0">
      <formula>"Pass"</formula>
    </cfRule>
    <cfRule type="cellIs" priority="2" operator="equal" dxfId="1">
      <formula>"Fail"</formula>
    </cfRule>
    <cfRule type="cellIs" priority="3" operator="equal" dxfId="2">
      <formula>"Blocked"</formula>
    </cfRule>
  </conditionalFormatting>
  <pageMargins left="0.75" right="0.75" top="1" bottom="1" header="0.5" footer="0.5"/>
  <pageSetup orientation="landscape" fitToWidth="1"/>
</worksheet>
</file>

<file path=xl/worksheets/sheet8.xml><?xml version="1.0" encoding="utf-8"?>
<worksheet xmlns="http://schemas.openxmlformats.org/spreadsheetml/2006/main">
  <sheetPr>
    <outlinePr summaryBelow="1" summaryRight="1"/>
    <pageSetUpPr fitToPage="1"/>
  </sheetPr>
  <dimension ref="A1:G14"/>
  <sheetViews>
    <sheetView showGridLines="0" workbookViewId="0">
      <pane ySplit="4" topLeftCell="A5" activePane="bottomLeft" state="frozen"/>
      <selection pane="bottomLeft" activeCell="A1" sqref="A1"/>
    </sheetView>
  </sheetViews>
  <sheetFormatPr baseColWidth="8" defaultRowHeight="15"/>
  <cols>
    <col width="9" customWidth="1" min="1" max="1"/>
    <col width="30" customWidth="1" min="2" max="2"/>
    <col width="52" customWidth="1" min="3" max="3"/>
    <col width="13" customWidth="1" min="4" max="4"/>
    <col width="14" customWidth="1" min="5" max="5"/>
    <col width="14" customWidth="1" min="6" max="6"/>
    <col width="30" customWidth="1" min="7" max="7"/>
  </cols>
  <sheetData>
    <row r="1" ht="26" customHeight="1">
      <c r="A1" s="1" t="inlineStr">
        <is>
          <t>Test data to prepare</t>
        </is>
      </c>
    </row>
    <row r="2">
      <c r="A2" s="2" t="inlineStr">
        <is>
          <t>Nothing on the other sheets can start until these exist. Owner and date are yours to fill in.</t>
        </is>
      </c>
    </row>
    <row r="4" ht="34" customHeight="1">
      <c r="A4" s="7" t="inlineStr">
        <is>
          <t>ID</t>
        </is>
      </c>
      <c r="B4" s="7" t="inlineStr">
        <is>
          <t>What is needed</t>
        </is>
      </c>
      <c r="C4" s="7" t="inlineStr">
        <is>
          <t>Why</t>
        </is>
      </c>
      <c r="D4" s="7" t="inlineStr">
        <is>
          <t>Priority</t>
        </is>
      </c>
      <c r="E4" s="7" t="inlineStr">
        <is>
          <t>Owner</t>
        </is>
      </c>
      <c r="F4" s="7" t="inlineStr">
        <is>
          <t>Ready by</t>
        </is>
      </c>
      <c r="G4" s="7" t="inlineStr">
        <is>
          <t>Notes</t>
        </is>
      </c>
    </row>
    <row r="5" ht="26" customHeight="1">
      <c r="A5" s="33" t="inlineStr">
        <is>
          <t>TD-01</t>
        </is>
      </c>
      <c r="B5" s="53" t="inlineStr">
        <is>
          <t>One complete real tender pack</t>
        </is>
      </c>
      <c r="C5" s="43" t="inlineStr">
        <is>
          <t>Drives almost every functional and accuracy test</t>
        </is>
      </c>
      <c r="D5" s="54" t="inlineStr">
        <is>
          <t>High</t>
        </is>
      </c>
      <c r="E5" s="35" t="n"/>
      <c r="F5" s="36" t="n"/>
      <c r="G5" s="41" t="n"/>
    </row>
    <row r="6" ht="26" customHeight="1">
      <c r="A6" s="33" t="inlineStr">
        <is>
          <t>TD-02</t>
        </is>
      </c>
      <c r="B6" s="53" t="inlineStr">
        <is>
          <t>The priced bill that tender produced</t>
        </is>
      </c>
      <c r="C6" s="43" t="inlineStr">
        <is>
          <t>The answer key for BOQ and rate accuracy</t>
        </is>
      </c>
      <c r="D6" s="54" t="inlineStr">
        <is>
          <t>High</t>
        </is>
      </c>
      <c r="E6" s="35" t="n"/>
      <c r="F6" s="36" t="n"/>
      <c r="G6" s="41" t="n"/>
    </row>
    <row r="7" ht="26" customHeight="1">
      <c r="A7" s="33" t="inlineStr">
        <is>
          <t>TD-03</t>
        </is>
      </c>
      <c r="B7" s="53" t="inlineStr">
        <is>
          <t>Documents at each of the five size bands, 3 each</t>
        </is>
      </c>
      <c r="C7" s="43" t="inlineStr">
        <is>
          <t>15 files for the document performance sheet</t>
        </is>
      </c>
      <c r="D7" s="54" t="inlineStr">
        <is>
          <t>High</t>
        </is>
      </c>
      <c r="E7" s="35" t="n"/>
      <c r="F7" s="36" t="n"/>
      <c r="G7" s="41" t="n"/>
    </row>
    <row r="8" ht="26" customHeight="1">
      <c r="A8" s="33" t="inlineStr">
        <is>
          <t>TD-04</t>
        </is>
      </c>
      <c r="B8" s="53" t="inlineStr">
        <is>
          <t>Drawings: 3 simple, 3 medium, 3 complex, 3 scanned</t>
        </is>
      </c>
      <c r="C8" s="43" t="inlineStr">
        <is>
          <t>12 files for the drawing performance sheet</t>
        </is>
      </c>
      <c r="D8" s="54" t="inlineStr">
        <is>
          <t>High</t>
        </is>
      </c>
      <c r="E8" s="35" t="n"/>
      <c r="F8" s="36" t="n"/>
      <c r="G8" s="41" t="n"/>
    </row>
    <row r="9" ht="26" customHeight="1">
      <c r="A9" s="33" t="inlineStr">
        <is>
          <t>TD-05</t>
        </is>
      </c>
      <c r="B9" s="53" t="inlineStr">
        <is>
          <t>A drawing measured by a QS</t>
        </is>
      </c>
      <c r="C9" s="43" t="inlineStr">
        <is>
          <t>The answer key for measurement accuracy</t>
        </is>
      </c>
      <c r="D9" s="54" t="inlineStr">
        <is>
          <t>High</t>
        </is>
      </c>
      <c r="E9" s="35" t="n"/>
      <c r="F9" s="36" t="n"/>
      <c r="G9" s="41" t="n"/>
    </row>
    <row r="10" ht="26" customHeight="1">
      <c r="A10" s="33" t="inlineStr">
        <is>
          <t>TD-06</t>
        </is>
      </c>
      <c r="B10" s="53" t="inlineStr">
        <is>
          <t>A specification with clauses marked up</t>
        </is>
      </c>
      <c r="C10" s="43" t="inlineStr">
        <is>
          <t>The answer key for clause extraction</t>
        </is>
      </c>
      <c r="D10" s="55" t="inlineStr">
        <is>
          <t>Medium</t>
        </is>
      </c>
      <c r="E10" s="35" t="n"/>
      <c r="F10" s="36" t="n"/>
      <c r="G10" s="41" t="n"/>
    </row>
    <row r="11" ht="26" customHeight="1">
      <c r="A11" s="33" t="inlineStr">
        <is>
          <t>TD-07</t>
        </is>
      </c>
      <c r="B11" s="53" t="inlineStr">
        <is>
          <t>50 mixed documents, each labelled by type</t>
        </is>
      </c>
      <c r="C11" s="43" t="inlineStr">
        <is>
          <t>The answer key for classification</t>
        </is>
      </c>
      <c r="D11" s="55" t="inlineStr">
        <is>
          <t>Medium</t>
        </is>
      </c>
      <c r="E11" s="35" t="n"/>
      <c r="F11" s="36" t="n"/>
      <c r="G11" s="41" t="n"/>
    </row>
    <row r="12" ht="26" customHeight="1">
      <c r="A12" s="33" t="inlineStr">
        <is>
          <t>TD-08</t>
        </is>
      </c>
      <c r="B12" s="53" t="inlineStr">
        <is>
          <t>A programme built by hand from the same bill</t>
        </is>
      </c>
      <c r="C12" s="43" t="inlineStr">
        <is>
          <t>The answer key for scheduling</t>
        </is>
      </c>
      <c r="D12" s="55" t="inlineStr">
        <is>
          <t>Medium</t>
        </is>
      </c>
      <c r="E12" s="35" t="n"/>
      <c r="F12" s="36" t="n"/>
      <c r="G12" s="41" t="n"/>
    </row>
    <row r="13" ht="26" customHeight="1">
      <c r="A13" s="33" t="inlineStr">
        <is>
          <t>TD-09</t>
        </is>
      </c>
      <c r="B13" s="53" t="inlineStr">
        <is>
          <t>A second revision of one drawing</t>
        </is>
      </c>
      <c r="C13" s="43" t="inlineStr">
        <is>
          <t>Revision compare and the stale cascade</t>
        </is>
      </c>
      <c r="D13" s="55" t="inlineStr">
        <is>
          <t>Medium</t>
        </is>
      </c>
      <c r="E13" s="35" t="n"/>
      <c r="F13" s="36" t="n"/>
      <c r="G13" s="41" t="n"/>
    </row>
    <row r="14" ht="26" customHeight="1">
      <c r="A14" s="33" t="inlineStr">
        <is>
          <t>TD-10</t>
        </is>
      </c>
      <c r="B14" s="53" t="inlineStr">
        <is>
          <t>Test accounts for each role</t>
        </is>
      </c>
      <c r="C14" s="43" t="inlineStr">
        <is>
          <t>Permission and review-queue tests</t>
        </is>
      </c>
      <c r="D14" s="54" t="inlineStr">
        <is>
          <t>High</t>
        </is>
      </c>
      <c r="E14" s="35" t="n"/>
      <c r="F14" s="36" t="n"/>
      <c r="G14" s="41" t="n"/>
    </row>
  </sheetData>
  <pageMargins left="0.75" right="0.75" top="1" bottom="1" header="0.5" footer="0.5"/>
  <pageSetup orientation="landscape" fitToWidth="1"/>
</worksheet>
</file>

<file path=xl/worksheets/sheet9.xml><?xml version="1.0" encoding="utf-8"?>
<worksheet xmlns="http://schemas.openxmlformats.org/spreadsheetml/2006/main">
  <sheetPr>
    <outlinePr summaryBelow="1" summaryRight="1"/>
    <pageSetUpPr fitToPage="1"/>
  </sheetPr>
  <dimension ref="A1:D19"/>
  <sheetViews>
    <sheetView showGridLines="0" workbookViewId="0">
      <selection activeCell="A1" sqref="A1"/>
    </sheetView>
  </sheetViews>
  <sheetFormatPr baseColWidth="8" defaultRowHeight="15"/>
  <cols>
    <col width="34" customWidth="1" min="1" max="1"/>
    <col width="18" customWidth="1" min="2" max="2"/>
    <col width="16" customWidth="1" min="3" max="3"/>
    <col width="62" customWidth="1" min="4" max="4"/>
  </cols>
  <sheetData>
    <row r="1" ht="26" customHeight="1">
      <c r="A1" s="1" t="inlineStr">
        <is>
          <t>Targets and thresholds</t>
        </is>
      </c>
    </row>
    <row r="2">
      <c r="A2" s="2" t="inlineStr">
        <is>
          <t>Every one of these is a proposal. Agree them with engineering before testing starts, then change them here — the test sheets read their own targets, so update both.</t>
        </is>
      </c>
    </row>
    <row r="4" ht="34" customHeight="1">
      <c r="A4" s="7" t="inlineStr">
        <is>
          <t>Measure</t>
        </is>
      </c>
      <c r="B4" s="7" t="inlineStr">
        <is>
          <t>Proposed target</t>
        </is>
      </c>
      <c r="C4" s="7" t="inlineStr">
        <is>
          <t>Today</t>
        </is>
      </c>
      <c r="D4" s="7" t="inlineStr">
        <is>
          <t>Basis</t>
        </is>
      </c>
    </row>
    <row r="5" ht="24" customHeight="1">
      <c r="A5" s="34" t="inlineStr">
        <is>
          <t>Document &lt; 0.5 MB</t>
        </is>
      </c>
      <c r="B5" s="56" t="inlineStr">
        <is>
          <t>10 sec</t>
        </is>
      </c>
      <c r="C5" s="57" t="inlineStr">
        <is>
          <t>3.9 sec</t>
        </is>
      </c>
      <c r="D5" s="43" t="inlineStr">
        <is>
          <t>Comfortably met today.</t>
        </is>
      </c>
    </row>
    <row r="6" ht="24" customHeight="1">
      <c r="A6" s="34" t="inlineStr">
        <is>
          <t>Document 0.5 – 2 MB</t>
        </is>
      </c>
      <c r="B6" s="56" t="inlineStr">
        <is>
          <t>30 sec</t>
        </is>
      </c>
      <c r="C6" s="57" t="inlineStr">
        <is>
          <t>10.5 sec</t>
        </is>
      </c>
      <c r="D6" s="43" t="inlineStr">
        <is>
          <t>Met today.</t>
        </is>
      </c>
    </row>
    <row r="7" ht="24" customHeight="1">
      <c r="A7" s="34" t="inlineStr">
        <is>
          <t>Document 2 – 8 MB</t>
        </is>
      </c>
      <c r="B7" s="56" t="inlineStr">
        <is>
          <t>90 sec</t>
        </is>
      </c>
      <c r="C7" s="57" t="inlineStr">
        <is>
          <t>9.4 sec</t>
        </is>
      </c>
      <c r="D7" s="43" t="inlineStr">
        <is>
          <t>Met today.</t>
        </is>
      </c>
    </row>
    <row r="8" ht="24" customHeight="1">
      <c r="A8" s="34" t="inlineStr">
        <is>
          <t>Document 8 – 32 MB</t>
        </is>
      </c>
      <c r="B8" s="56" t="inlineStr">
        <is>
          <t>300 sec</t>
        </is>
      </c>
      <c r="C8" s="57" t="inlineStr">
        <is>
          <t>5.4 sec</t>
        </is>
      </c>
      <c r="D8" s="43" t="inlineStr">
        <is>
          <t>Suspiciously fast — verify before trusting.</t>
        </is>
      </c>
    </row>
    <row r="9" ht="24" customHeight="1">
      <c r="A9" s="34" t="inlineStr">
        <is>
          <t>Document 32 MB +</t>
        </is>
      </c>
      <c r="B9" s="56" t="inlineStr">
        <is>
          <t>600 sec</t>
        </is>
      </c>
      <c r="C9" s="58" t="inlineStr">
        <is>
          <t>2.4 sec</t>
        </is>
      </c>
      <c r="D9" s="43" t="inlineStr">
        <is>
          <t>Faster than a small file. Not credible.</t>
        </is>
      </c>
    </row>
    <row r="10" ht="24" customHeight="1">
      <c r="A10" s="34" t="inlineStr">
        <is>
          <t>Drawing — simple</t>
        </is>
      </c>
      <c r="B10" s="56" t="inlineStr">
        <is>
          <t>30 sec</t>
        </is>
      </c>
      <c r="C10" s="58" t="inlineStr">
        <is>
          <t>not measured</t>
        </is>
      </c>
      <c r="D10" s="43" t="inlineStr">
        <is>
          <t>No timing recorded at all today.</t>
        </is>
      </c>
    </row>
    <row r="11" ht="24" customHeight="1">
      <c r="A11" s="34" t="inlineStr">
        <is>
          <t>Drawing — medium</t>
        </is>
      </c>
      <c r="B11" s="56" t="inlineStr">
        <is>
          <t>120 sec</t>
        </is>
      </c>
      <c r="C11" s="58" t="inlineStr">
        <is>
          <t>not measured</t>
        </is>
      </c>
      <c r="D11" s="43" t="inlineStr">
        <is>
          <t>No timing recorded at all today.</t>
        </is>
      </c>
    </row>
    <row r="12" ht="24" customHeight="1">
      <c r="A12" s="34" t="inlineStr">
        <is>
          <t>Drawing — complex</t>
        </is>
      </c>
      <c r="B12" s="56" t="inlineStr">
        <is>
          <t>600 sec</t>
        </is>
      </c>
      <c r="C12" s="58" t="inlineStr">
        <is>
          <t>not measured</t>
        </is>
      </c>
      <c r="D12" s="43" t="inlineStr">
        <is>
          <t>No timing recorded at all today.</t>
        </is>
      </c>
    </row>
    <row r="13" ht="24" customHeight="1">
      <c r="A13" s="34" t="inlineStr">
        <is>
          <t>Queue wait, any job</t>
        </is>
      </c>
      <c r="B13" s="56" t="inlineStr">
        <is>
          <t>60 sec</t>
        </is>
      </c>
      <c r="C13" s="57" t="inlineStr">
        <is>
          <t>up to 37 hrs</t>
        </is>
      </c>
      <c r="D13" s="43" t="inlineStr">
        <is>
          <t>Worst case is the programme step.</t>
        </is>
      </c>
    </row>
    <row r="14" ht="24" customHeight="1">
      <c r="A14" s="34" t="inlineStr">
        <is>
          <t>Tokens, one full bid</t>
        </is>
      </c>
      <c r="B14" s="56" t="inlineStr">
        <is>
          <t>90,000</t>
        </is>
      </c>
      <c r="C14" s="58" t="inlineStr">
        <is>
          <t>not measured</t>
        </is>
      </c>
      <c r="D14" s="43" t="inlineStr">
        <is>
          <t>Sum of the step targets.</t>
        </is>
      </c>
    </row>
    <row r="15" ht="24" customHeight="1">
      <c r="A15" s="34" t="inlineStr">
        <is>
          <t>Cost, one full bid</t>
        </is>
      </c>
      <c r="B15" s="56" t="inlineStr">
        <is>
          <t>$11.61</t>
        </is>
      </c>
      <c r="C15" s="57" t="inlineStr">
        <is>
          <t>$0.56 (placeholder)</t>
        </is>
      </c>
      <c r="D15" s="43" t="inlineStr">
        <is>
          <t>90,000 tokens at $0.129 / 1k.</t>
        </is>
      </c>
    </row>
    <row r="16" ht="24" customHeight="1">
      <c r="A16" s="34" t="inlineStr">
        <is>
          <t>Recall — requirements</t>
        </is>
      </c>
      <c r="B16" s="56" t="inlineStr">
        <is>
          <t>90%</t>
        </is>
      </c>
      <c r="C16" s="58" t="inlineStr">
        <is>
          <t>not measured</t>
        </is>
      </c>
      <c r="D16" s="43" t="inlineStr">
        <is>
          <t>A missed requirement is a priced risk.</t>
        </is>
      </c>
    </row>
    <row r="17" ht="24" customHeight="1">
      <c r="A17" s="34" t="inlineStr">
        <is>
          <t>Recall — measurements</t>
        </is>
      </c>
      <c r="B17" s="56" t="inlineStr">
        <is>
          <t>90%</t>
        </is>
      </c>
      <c r="C17" s="58" t="inlineStr">
        <is>
          <t>not measured</t>
        </is>
      </c>
      <c r="D17" s="43" t="inlineStr">
        <is>
          <t>Within ±2% on quantity.</t>
        </is>
      </c>
    </row>
    <row r="18" ht="24" customHeight="1">
      <c r="A18" s="34" t="inlineStr">
        <is>
          <t>Recall — BOQ lines</t>
        </is>
      </c>
      <c r="B18" s="56" t="inlineStr">
        <is>
          <t>85%</t>
        </is>
      </c>
      <c r="C18" s="58" t="inlineStr">
        <is>
          <t>not measured</t>
        </is>
      </c>
      <c r="D18" s="43" t="inlineStr">
        <is>
          <t>Against a hand-built bill.</t>
        </is>
      </c>
    </row>
    <row r="19" ht="24" customHeight="1">
      <c r="A19" s="34" t="inlineStr">
        <is>
          <t>Functional tests passing</t>
        </is>
      </c>
      <c r="B19" s="56" t="inlineStr">
        <is>
          <t>100% of High</t>
        </is>
      </c>
      <c r="C19" s="58" t="inlineStr">
        <is>
          <t>not measured</t>
        </is>
      </c>
      <c r="D19" s="43" t="inlineStr">
        <is>
          <t>High priority must all pass.</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2026-08-27T18:50:42Z</dcterms:created>
  <dcterms:modified xmlns:dcterms="http://purl.org/dc/terms/" xmlns:xsi="http://www.w3.org/2001/XMLSchema-instance" xsi:type="dcterms:W3CDTF">2026-08-27T18:50:42Z</dcterms:modified>
</cp:coreProperties>
</file>