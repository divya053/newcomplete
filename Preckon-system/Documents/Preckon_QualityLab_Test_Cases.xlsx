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KIO\Downloads\New\Preckon-system\Documents\"/>
    </mc:Choice>
  </mc:AlternateContent>
  <xr:revisionPtr revIDLastSave="0" documentId="13_ncr:1_{1B97A0DD-7410-4079-980F-5E388CF9EB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w to use" sheetId="1" r:id="rId1"/>
    <sheet name="Preckon Core" sheetId="2" r:id="rId2"/>
    <sheet name="TenderLogix" sheetId="3" r:id="rId3"/>
    <sheet name="DrawLogix" sheetId="4" r:id="rId4"/>
    <sheet name="ScheduleLogix" sheetId="5" r:id="rId5"/>
    <sheet name="DocLogix" sheetId="6" r:id="rId6"/>
    <sheet name="Estimate-Cost Control" sheetId="7" r:id="rId7"/>
    <sheet name="RFI-Submittals" sheetId="8" r:id="rId8"/>
    <sheet name="Change Management" sheetId="9" r:id="rId9"/>
    <sheet name="Field-Mobile" sheetId="10" r:id="rId10"/>
    <sheet name="Quality-Safety" sheetId="11" r:id="rId11"/>
    <sheet name="Financials" sheetId="12" r:id="rId12"/>
    <sheet name="AI-Knowledge Layer" sheetId="13" r:id="rId13"/>
    <sheet name="Integration Hub" sheetId="14" r:id="rId14"/>
    <sheet name="Administration" sheetId="15" r:id="rId15"/>
    <sheet name="Risk register" sheetId="16" r:id="rId16"/>
  </sheets>
  <definedNames>
    <definedName name="_xlnm._FilterDatabase" localSheetId="14" hidden="1">Administration!$A$4:$O$14</definedName>
    <definedName name="_xlnm._FilterDatabase" localSheetId="12" hidden="1">'AI-Knowledge Layer'!$A$4:$O$19</definedName>
    <definedName name="_xlnm._FilterDatabase" localSheetId="8" hidden="1">'Change Management'!$A$4:$O$9</definedName>
    <definedName name="_xlnm._FilterDatabase" localSheetId="5" hidden="1">DocLogix!$A$4:$O$13</definedName>
    <definedName name="_xlnm._FilterDatabase" localSheetId="3" hidden="1">DrawLogix!$A$4:$O$16</definedName>
    <definedName name="_xlnm._FilterDatabase" localSheetId="6" hidden="1">'Estimate-Cost Control'!$A$4:$O$16</definedName>
    <definedName name="_xlnm._FilterDatabase" localSheetId="9" hidden="1">'Field-Mobile'!$A$4:$O$10</definedName>
    <definedName name="_xlnm._FilterDatabase" localSheetId="11" hidden="1">Financials!$A$4:$O$10</definedName>
    <definedName name="_xlnm._FilterDatabase" localSheetId="13" hidden="1">'Integration Hub'!$A$4:$O$12</definedName>
    <definedName name="_xlnm._FilterDatabase" localSheetId="1" hidden="1">'Preckon Core'!$A$4:$O$19</definedName>
    <definedName name="_xlnm._FilterDatabase" localSheetId="10" hidden="1">'Quality-Safety'!$A$4:$O$8</definedName>
    <definedName name="_xlnm._FilterDatabase" localSheetId="7" hidden="1">'RFI-Submittals'!$A$4:$O$9</definedName>
    <definedName name="_xlnm._FilterDatabase" localSheetId="4" hidden="1">ScheduleLogix!$A$4:$O$17</definedName>
    <definedName name="_xlnm._FilterDatabase" localSheetId="2" hidden="1">TenderLogix!$A$4:$O$15</definedName>
  </definedNames>
  <calcPr calcId="191029"/>
</workbook>
</file>

<file path=xl/calcChain.xml><?xml version="1.0" encoding="utf-8"?>
<calcChain xmlns="http://schemas.openxmlformats.org/spreadsheetml/2006/main">
  <c r="F21" i="1" l="1"/>
  <c r="E21" i="1"/>
  <c r="D21" i="1"/>
  <c r="C21" i="1"/>
</calcChain>
</file>

<file path=xl/sharedStrings.xml><?xml version="1.0" encoding="utf-8"?>
<sst xmlns="http://schemas.openxmlformats.org/spreadsheetml/2006/main" count="1705" uniqueCount="704">
  <si>
    <t>Preckon QualityLab — module test catalogue</t>
  </si>
  <si>
    <t>Against Master Testing &amp; Quality Engineering Blueprint v1.0 and QualityLab v1.0 Execution Kit</t>
  </si>
  <si>
    <t>Kind</t>
  </si>
  <si>
    <t>Module</t>
  </si>
  <si>
    <t>Risk</t>
  </si>
  <si>
    <t>Cases</t>
  </si>
  <si>
    <t>Happy</t>
  </si>
  <si>
    <t>Edge</t>
  </si>
  <si>
    <t>Negative</t>
  </si>
  <si>
    <t>Preckon Core</t>
  </si>
  <si>
    <t>P0</t>
  </si>
  <si>
    <t>TenderLogix</t>
  </si>
  <si>
    <t>DrawLogix</t>
  </si>
  <si>
    <t>ScheduleLogix</t>
  </si>
  <si>
    <t>DocLogix</t>
  </si>
  <si>
    <t>Estimate / Cost Control</t>
  </si>
  <si>
    <t>RFI / Submittals</t>
  </si>
  <si>
    <t>P1</t>
  </si>
  <si>
    <t>Change Management</t>
  </si>
  <si>
    <t>Field / Mobile</t>
  </si>
  <si>
    <t>Quality / Safety</t>
  </si>
  <si>
    <t>Financials</t>
  </si>
  <si>
    <t>AI / Knowledge Layer</t>
  </si>
  <si>
    <t>Integration Hub</t>
  </si>
  <si>
    <t>Administration</t>
  </si>
  <si>
    <t>TOTAL</t>
  </si>
  <si>
    <t>P0 · Tenant, organization, project, identity, permissions, workflow, notification, audit, search, configuration.</t>
  </si>
  <si>
    <t>Test ID</t>
  </si>
  <si>
    <t>Type</t>
  </si>
  <si>
    <t>Title</t>
  </si>
  <si>
    <t>Preconditions</t>
  </si>
  <si>
    <t>Steps</t>
  </si>
  <si>
    <t>Expected result / tolerance</t>
  </si>
  <si>
    <t>Priority</t>
  </si>
  <si>
    <t>Automation</t>
  </si>
  <si>
    <t>Owner</t>
  </si>
  <si>
    <t>Fixture / GP version</t>
  </si>
  <si>
    <t>Status</t>
  </si>
  <si>
    <t>Evidence link</t>
  </si>
  <si>
    <t>Notes</t>
  </si>
  <si>
    <t>QL-CORE-SEC-001</t>
  </si>
  <si>
    <t>SEC</t>
  </si>
  <si>
    <t>R1</t>
  </si>
  <si>
    <t>A query without a tenant predicate must not exist</t>
  </si>
  <si>
    <t>Source tree at HEAD</t>
  </si>
  <si>
    <t>Static scan of every SQL statement touching a tenant-scoped table</t>
  </si>
  <si>
    <t>Every statement names tenant_id. A WHERE project_id = ? alone fails the scan — it reads naturally and is wrong only in what it omits</t>
  </si>
  <si>
    <t>GP-001</t>
  </si>
  <si>
    <t>Not run</t>
  </si>
  <si>
    <t>QL-CORE-SEC-002</t>
  </si>
  <si>
    <t>Cross-tenant read by direct object id is denied</t>
  </si>
  <si>
    <t>Two tenants each with one project</t>
  </si>
  <si>
    <t>Sign in as tenant A; GET /projects/{tenant B project id}</t>
  </si>
  <si>
    <t>404, not 403 — a 403 confirms the id exists</t>
  </si>
  <si>
    <t>QL-CORE-SEC-003</t>
  </si>
  <si>
    <t>Cross-tenant access via a stale session after tenant switch</t>
  </si>
  <si>
    <t>User belongs to two tenants</t>
  </si>
  <si>
    <t>Open tenant A, switch to B in another tab, act in the first tab</t>
  </si>
  <si>
    <t>The first tab's writes are rejected, not silently applied to B</t>
  </si>
  <si>
    <t>QL-CORE-API-001</t>
  </si>
  <si>
    <t>API</t>
  </si>
  <si>
    <t>Project lifecycle create → active → archive → restore</t>
  </si>
  <si>
    <t>Owner role</t>
  </si>
  <si>
    <t>Run the full cycle</t>
  </si>
  <si>
    <t>Chain and audit history intact after restore; no artifact orphaned</t>
  </si>
  <si>
    <t>QL-CORE-E2E-001</t>
  </si>
  <si>
    <t>E2E</t>
  </si>
  <si>
    <t>An archived project is findable by search</t>
  </si>
  <si>
    <t>One archived project</t>
  </si>
  <si>
    <t>Search its name from the projects screen</t>
  </si>
  <si>
    <t>It is shown. Regression: search filtered only the active list, so the archived section stayed collapsed and the answer was on screen but hidden</t>
  </si>
  <si>
    <t>QL-CORE-UNIT-001</t>
  </si>
  <si>
    <t>UNIT</t>
  </si>
  <si>
    <t>A gate whose producer emitted nothing must not deadlock</t>
  </si>
  <si>
    <t>Workflow with a gate over a type the run produced none of</t>
  </si>
  <si>
    <t>Run the workflow to the gate</t>
  </si>
  <si>
    <t>The gate resolves. Regression: 39 runs sat parked on production, oldest four weeks, with nothing to confirm and Run disabled</t>
  </si>
  <si>
    <t>QL-CORE-UNIT-002</t>
  </si>
  <si>
    <t>A gate still holds when every proposal was rejected</t>
  </si>
  <si>
    <t>Run produced 3 artifacts, all rejected</t>
  </si>
  <si>
    <t>Evaluate the gate</t>
  </si>
  <si>
    <t>Holds. Rejecting real output is a decision, not an absence of one</t>
  </si>
  <si>
    <t>QL-CORE-API-002</t>
  </si>
  <si>
    <t>A second concurrent run of the same workflow is refused</t>
  </si>
  <si>
    <t>One run already running</t>
  </si>
  <si>
    <t>Start the same workflow again</t>
  </si>
  <si>
    <t>Refused. Regression: two QuantLogix runs six seconds apart on one project</t>
  </si>
  <si>
    <t>QL-CORE-SEC-004</t>
  </si>
  <si>
    <t>Permission enforced server-side, not by hiding the control</t>
  </si>
  <si>
    <t>Viewer role</t>
  </si>
  <si>
    <t>Call a mutating endpoint directly</t>
  </si>
  <si>
    <t>403. UI absence is not authorization</t>
  </si>
  <si>
    <t>QL-CORE-UNIT-003</t>
  </si>
  <si>
    <t>Audit chain verifies after a full project lifecycle</t>
  </si>
  <si>
    <t>Seeded project</t>
  </si>
  <si>
    <t>GET /audit/verify</t>
  </si>
  <si>
    <t>ok true, brokenSeq null</t>
  </si>
  <si>
    <t>QL-CORE-SEC-005</t>
  </si>
  <si>
    <t>Audit entries cannot be edited or deleted</t>
  </si>
  <si>
    <t>Existing audit rows</t>
  </si>
  <si>
    <t>Attempt update and delete via every exposed path</t>
  </si>
  <si>
    <t>Both refused; chain still verifies</t>
  </si>
  <si>
    <t>QL-CORE-UX-001</t>
  </si>
  <si>
    <t>UX</t>
  </si>
  <si>
    <t>R11</t>
  </si>
  <si>
    <t>No label breaks mid-word at any viewport width</t>
  </si>
  <si>
    <t>Tender key facts with a long value</t>
  </si>
  <si>
    <t>Render at 1900/1500/1100/900/700/520/390px</t>
  </si>
  <si>
    <t>No label splits. Regression: overflow-wrap:anywhere collapsed min-content to one character, rendering Client as Cli/ent</t>
  </si>
  <si>
    <t>QL-CORE-PERF-001</t>
  </si>
  <si>
    <t>PERF</t>
  </si>
  <si>
    <t>R10</t>
  </si>
  <si>
    <t>A project with 5,000 artifacts still lists inside budget</t>
  </si>
  <si>
    <t>Large fixture</t>
  </si>
  <si>
    <t>Open the project workspace</t>
  </si>
  <si>
    <t>Chain renders within the performance budget; no unbounded query</t>
  </si>
  <si>
    <t>QL-CORE-E2E-002</t>
  </si>
  <si>
    <t>Arabic switches layout to RTL without mirroring technical content</t>
  </si>
  <si>
    <t>Locale ar</t>
  </si>
  <si>
    <t>Switch language</t>
  </si>
  <si>
    <t>Chrome mirrors; drawings, dimensions and identifiers do not</t>
  </si>
  <si>
    <t>QL-CORE-UNIT-004</t>
  </si>
  <si>
    <t>A wordmark keeps glyph order under RTL</t>
  </si>
  <si>
    <t>Render the brand mark</t>
  </si>
  <si>
    <t>Reads Preckon. not .Preckon — the trailing period is bidi-neutral and reorders without dir isolation</t>
  </si>
  <si>
    <t>P0 · Tender ingestion, classification, requirements, bid packages, BOQ, estimate, bid comparison, tender-to-project conversion.</t>
  </si>
  <si>
    <t>QL-TND-E2E-001</t>
  </si>
  <si>
    <t>Tender package ingest builds a requirement register</t>
  </si>
  <si>
    <t>Tender PDF with instructions to bidders</t>
  </si>
  <si>
    <t>Upload, run TenderLogix</t>
  </si>
  <si>
    <t>Requirements extracted, each traced to its clause reference</t>
  </si>
  <si>
    <t>QL-TND-UNIT-001</t>
  </si>
  <si>
    <t>A tender with no mandatory requirements does not stall the stage</t>
  </si>
  <si>
    <t>Tender that states none</t>
  </si>
  <si>
    <t>Run TenderLogix</t>
  </si>
  <si>
    <t>Stage completes and says the register is empty, rather than parking on 'waiting on you' with nothing to confirm</t>
  </si>
  <si>
    <t>QL-TND-API-001</t>
  </si>
  <si>
    <t>A submission deadline already in the past is read, not rejected</t>
  </si>
  <si>
    <t>Tender dated 2020</t>
  </si>
  <si>
    <t>Run extraction</t>
  </si>
  <si>
    <t>Deadline recorded; days-to-bid shows negative rather than blank or an error</t>
  </si>
  <si>
    <t>QL-TND-AI-001</t>
  </si>
  <si>
    <t>AI</t>
  </si>
  <si>
    <t>R5</t>
  </si>
  <si>
    <t>A requirement with no clause reference is not invented</t>
  </si>
  <si>
    <t>Clause text absent</t>
  </si>
  <si>
    <t>Extract</t>
  </si>
  <si>
    <t>Field is empty or abstains; no fabricated reference</t>
  </si>
  <si>
    <t>QL-TND-E2E-002</t>
  </si>
  <si>
    <t>Tender to live project conversion (GJ-01)</t>
  </si>
  <si>
    <t>Awarded tender</t>
  </si>
  <si>
    <t>Convert</t>
  </si>
  <si>
    <t>Source identities, citations and approved BOQ/estimate snapshots survive; nothing re-entered</t>
  </si>
  <si>
    <t>QL-TND-API-002</t>
  </si>
  <si>
    <t>Conversion is idempotent</t>
  </si>
  <si>
    <t>Already-converted tender</t>
  </si>
  <si>
    <t>Convert again</t>
  </si>
  <si>
    <t>No duplicate project, no duplicate artifacts</t>
  </si>
  <si>
    <t>QL-TND-UNIT-002</t>
  </si>
  <si>
    <t>Bid comparison with one bidder</t>
  </si>
  <si>
    <t>Single response</t>
  </si>
  <si>
    <t>Compare</t>
  </si>
  <si>
    <t>Renders without division-by-zero or an implied ranking</t>
  </si>
  <si>
    <t>QL-TND-UNIT-003</t>
  </si>
  <si>
    <t>Two bids identical to the cent</t>
  </si>
  <si>
    <t>Two equal totals</t>
  </si>
  <si>
    <t>Tie shown as a tie; no arbitrary winner</t>
  </si>
  <si>
    <t>QL-TND-SEC-001</t>
  </si>
  <si>
    <t>Bid figures are not visible to a viewer role before opening</t>
  </si>
  <si>
    <t>Sealed period</t>
  </si>
  <si>
    <t>Read as viewer</t>
  </si>
  <si>
    <t>Denied</t>
  </si>
  <si>
    <t>QL-TND-PERF-001</t>
  </si>
  <si>
    <t>A 400-page tender extracts within budget</t>
  </si>
  <si>
    <t>Run</t>
  </si>
  <si>
    <t>Completes inside the stated budget; partial progress visible</t>
  </si>
  <si>
    <t>QL-TND-E2E-003</t>
  </si>
  <si>
    <t>R6</t>
  </si>
  <si>
    <t>Addendum supersedes the clause it amends</t>
  </si>
  <si>
    <t>Base + addendum</t>
  </si>
  <si>
    <t>Ingest both</t>
  </si>
  <si>
    <t>Superseded clause marked; register reflects the addendum, and the original stays readable</t>
  </si>
  <si>
    <t>P0 · Drawing ingestion/generation, viewer, geometry, layers, measurements, revision comparison, quantity extraction, desktop/browser sync.</t>
  </si>
  <si>
    <t>QL-DRW-E2E-001</t>
  </si>
  <si>
    <t>DXF ingest indexes sheets, layers and blocks</t>
  </si>
  <si>
    <t>Valid .dxf</t>
  </si>
  <si>
    <t>Upload</t>
  </si>
  <si>
    <t>Layer counts, block counts, extents and units reported</t>
  </si>
  <si>
    <t>QL-DRW-UNIT-001</t>
  </si>
  <si>
    <t>R2</t>
  </si>
  <si>
    <t>A drawing that declares no units is reported as unitless</t>
  </si>
  <si>
    <t>DXF without $INSUNITS</t>
  </si>
  <si>
    <t>Parse</t>
  </si>
  <si>
    <t>Units read 'unitless'; downstream refuses to assume mm. Real: the reclamation sheet declares none and the assistant said so rather than guessing</t>
  </si>
  <si>
    <t>QL-DRW-UNIT-002</t>
  </si>
  <si>
    <t>Survey coordinates far from origin render and measure correctly</t>
  </si>
  <si>
    <t>Sheet at X ≈ -2,019,579</t>
  </si>
  <si>
    <t>Open and measure</t>
  </si>
  <si>
    <t>Correct; markup placed at 1000,1000 lands 2km away, so placement must anchor to extents</t>
  </si>
  <si>
    <t>QL-DRW-PERF-001</t>
  </si>
  <si>
    <t>A sheet with 5,000+ entities across 690 layers renders or fails honestly</t>
  </si>
  <si>
    <t>Large .dwg</t>
  </si>
  <si>
    <t>Open</t>
  </si>
  <si>
    <t>Renders inside budget, or reports that it would not draw while keeping the measurement. Real: 'measured cleanly but the sheet would not draw' after 3 minutes</t>
  </si>
  <si>
    <t>QL-DRW-UNIT-003</t>
  </si>
  <si>
    <t>Measurement records element, location, method, quantity, unit and sheet</t>
  </si>
  <si>
    <t>Measured drawing</t>
  </si>
  <si>
    <t>Read the takeoff register</t>
  </si>
  <si>
    <t>All six present; method states how the figure was derived</t>
  </si>
  <si>
    <t>QL-DRW-E2E-002</t>
  </si>
  <si>
    <t>A human correction supersedes the agent measure and re-plans dependents</t>
  </si>
  <si>
    <t>Measurement with a downstream BOQ line</t>
  </si>
  <si>
    <t>Correct it</t>
  </si>
  <si>
    <t>Agent value superseded; dependents marked stale and re-planned</t>
  </si>
  <si>
    <t>QL-DRW-E2E-003</t>
  </si>
  <si>
    <t>Revision comparison (GJ-02)</t>
  </si>
  <si>
    <t>Rev 01 and Rev 02</t>
  </si>
  <si>
    <t>Rev 01 never overwritten; impacts point to exact Rev 02 evidence and require approval</t>
  </si>
  <si>
    <t>QL-DRW-UNIT-004</t>
  </si>
  <si>
    <t>Markup never writes to the sheet's own layers</t>
  </si>
  <si>
    <t>Any drawing</t>
  </si>
  <si>
    <t>Add note, cloud, line</t>
  </si>
  <si>
    <t>All land on the markup layer; issued layers unchanged</t>
  </si>
  <si>
    <t>QL-DRW-API-001</t>
  </si>
  <si>
    <t>Delete-layer reports the count before removing</t>
  </si>
  <si>
    <t>Layer with 400 entities</t>
  </si>
  <si>
    <t>Request deletion</t>
  </si>
  <si>
    <t>Count returned first; nothing removed until confirmed</t>
  </si>
  <si>
    <t>QL-DRW-AI-001</t>
  </si>
  <si>
    <t>An instruction missing an endpoint is refused, not guessed</t>
  </si>
  <si>
    <t>'Draw a line at x 289'</t>
  </si>
  <si>
    <t>Send</t>
  </si>
  <si>
    <t>Refused with a request for the second point; drawing unchanged</t>
  </si>
  <si>
    <t>QL-DRW-UNIT-005</t>
  </si>
  <si>
    <t>Placement units are consistent between tool and model</t>
  </si>
  <si>
    <t>Place a 24 m wall</t>
  </si>
  <si>
    <t>Read back the length</t>
  </si>
  <si>
    <t>Reported length matches the instruction. Known conflict: place_elements documents millimetres while takeoff reports metres and nothing converts</t>
  </si>
  <si>
    <t>QL-DRW-UX-001</t>
  </si>
  <si>
    <t>The measured panel scrolls rather than setting the row height</t>
  </si>
  <si>
    <t>Sheet with 13 block types and dozens of layers</t>
  </si>
  <si>
    <t>Open drawings</t>
  </si>
  <si>
    <t>Panel capped to the drawing pane and scrolls. Regression: it grew past 2000px and stretched the drawing pane to match</t>
  </si>
  <si>
    <t>P0 · WBS, activities, logic, calendars, constraints, baselines, CPM, progress, delay analysis, P6 import/export.</t>
  </si>
  <si>
    <t>QL-SCH-API-001</t>
  </si>
  <si>
    <t>R3</t>
  </si>
  <si>
    <t>A baseline cannot be overwritten in place</t>
  </si>
  <si>
    <t>Approved baseline</t>
  </si>
  <si>
    <t>Save a changed programme over it</t>
  </si>
  <si>
    <t>Refused; a new baseline version is created and the approved one is untouched</t>
  </si>
  <si>
    <t>QL-SCH-UNIT-001</t>
  </si>
  <si>
    <t>An activity cannot finish before its predecessor without a lead being stated</t>
  </si>
  <si>
    <t>FS link, no lead</t>
  </si>
  <si>
    <t>Set an earlier finish</t>
  </si>
  <si>
    <t>Refused, or the lead is recorded explicitly. A silent overlap is how a programme stops meaning anything</t>
  </si>
  <si>
    <t>QL-SCH-UNIT-002</t>
  </si>
  <si>
    <t>A constraint that makes the network infeasible is reported, not absorbed</t>
  </si>
  <si>
    <t>Must-finish-by before the earliest possible finish</t>
  </si>
  <si>
    <t>Compute</t>
  </si>
  <si>
    <t>Reported as infeasible with the offending constraint named; negative float is not quietly swallowed</t>
  </si>
  <si>
    <t>QL-SCH-UNIT-003</t>
  </si>
  <si>
    <t>CPM forward and backward pass vector</t>
  </si>
  <si>
    <t>Known network</t>
  </si>
  <si>
    <t>Early/late dates, total and free float match the oracle exactly</t>
  </si>
  <si>
    <t>QL-SCH-UNIT-004</t>
  </si>
  <si>
    <t>A network with a cycle is rejected, not silently reordered</t>
  </si>
  <si>
    <t>A→B→A</t>
  </si>
  <si>
    <t>Rejected with the cycle named</t>
  </si>
  <si>
    <t>QL-SCH-UNIT-005</t>
  </si>
  <si>
    <t>Zero-duration milestone does not distort float</t>
  </si>
  <si>
    <t>Milestone in the chain</t>
  </si>
  <si>
    <t>Float correct; milestone does not consume duration</t>
  </si>
  <si>
    <t>QL-SCH-UNIT-006</t>
  </si>
  <si>
    <t>Two parallel paths of identical length are both critical</t>
  </si>
  <si>
    <t>Equal paths</t>
  </si>
  <si>
    <t>Both marked critical; not one arbitrarily</t>
  </si>
  <si>
    <t>QL-SCH-UNIT-007</t>
  </si>
  <si>
    <t>Calendar with non-working days shifts finish correctly</t>
  </si>
  <si>
    <t>5-day calendar over a holiday</t>
  </si>
  <si>
    <t>Finish accounts for non-working days. Note: calendars are not implemented, so this is expected to fail until they are</t>
  </si>
  <si>
    <t>QL-SCH-INTG-001</t>
  </si>
  <si>
    <t>INTG</t>
  </si>
  <si>
    <t>R8</t>
  </si>
  <si>
    <t>P6 XER import round-trips without semantic loss</t>
  </si>
  <si>
    <t>Reference XER</t>
  </si>
  <si>
    <t>Import then export</t>
  </si>
  <si>
    <t>Activities, logic, calendars and codes reconcile; differences reported not silently dropped</t>
  </si>
  <si>
    <t>QL-SCH-UNIT-008</t>
  </si>
  <si>
    <t>Progress on a not-started successor is refused</t>
  </si>
  <si>
    <t>Predecessor incomplete</t>
  </si>
  <si>
    <t>Set 60% on successor</t>
  </si>
  <si>
    <t>Refused or flagged, not accepted silently</t>
  </si>
  <si>
    <t>QL-SCH-E2E-001</t>
  </si>
  <si>
    <t>Programme exports as a Gantt workbook</t>
  </si>
  <si>
    <t>Programme with sections</t>
  </si>
  <si>
    <t>Export</t>
  </si>
  <si>
    <t>Workbook opens; bars, dates and critical path match the screen</t>
  </si>
  <si>
    <t>QL-SCH-API-002</t>
  </si>
  <si>
    <t>Export is a POST carrying the client's computed rows</t>
  </si>
  <si>
    <t>Any programme</t>
  </si>
  <si>
    <t>GET the export endpoint</t>
  </si>
  <si>
    <t>405. The CPM runs client-side and the export formats what was drawn, rather than deriving it twice and drifting</t>
  </si>
  <si>
    <t>QL-SCH-PERF-001</t>
  </si>
  <si>
    <t>A 5,000-activity programme computes within budget</t>
  </si>
  <si>
    <t>Open and recompute</t>
  </si>
  <si>
    <t>Inside budget; no UI freeze</t>
  </si>
  <si>
    <t>P0 · Document register, metadata, revisions, approvals, transmittals, search, correspondence, retention.</t>
  </si>
  <si>
    <t>QL-DOC-E2E-001</t>
  </si>
  <si>
    <t>Register holds documents with revisions and status</t>
  </si>
  <si>
    <t>Uploaded set</t>
  </si>
  <si>
    <t>Open the register</t>
  </si>
  <si>
    <t>All present with revision and status</t>
  </si>
  <si>
    <t>QL-DOC-AI-001</t>
  </si>
  <si>
    <t>Retrieval refuses to answer from a superseded revision</t>
  </si>
  <si>
    <t>Rev A superseded by Rev B</t>
  </si>
  <si>
    <t>Ask a question answered only in Rev A</t>
  </si>
  <si>
    <t>Answers from Rev B, or abstains; never cites the superseded revision as current</t>
  </si>
  <si>
    <t>QL-DOC-UNIT-001</t>
  </si>
  <si>
    <t>Two revisions issued the same day order deterministically</t>
  </si>
  <si>
    <t>Same-date revisions</t>
  </si>
  <si>
    <t>Read current</t>
  </si>
  <si>
    <t>A stable rule decides; not insertion order</t>
  </si>
  <si>
    <t>QL-DOC-UNIT-002</t>
  </si>
  <si>
    <t>A revision uploaded out of order does not become current</t>
  </si>
  <si>
    <t>Rev 03 then Rev 02</t>
  </si>
  <si>
    <t>Ingest</t>
  </si>
  <si>
    <t>Rev 03 stays current</t>
  </si>
  <si>
    <t>QL-DOC-API-001</t>
  </si>
  <si>
    <t>Transmittal records recipients, date and contents</t>
  </si>
  <si>
    <t>Issued transmittal</t>
  </si>
  <si>
    <t>Read</t>
  </si>
  <si>
    <t>All recorded; contents pinned to the revisions sent</t>
  </si>
  <si>
    <t>QL-DOC-UNIT-003</t>
  </si>
  <si>
    <t>Retention does not delete a document under legal hold</t>
  </si>
  <si>
    <t>Expired retention plus hold</t>
  </si>
  <si>
    <t>Run retention</t>
  </si>
  <si>
    <t>Retained; hold wins</t>
  </si>
  <si>
    <t>QL-DOC-SEC-001</t>
  </si>
  <si>
    <t>Document search does not cross tenants</t>
  </si>
  <si>
    <t>Two tenants with similar filenames</t>
  </si>
  <si>
    <t>Search</t>
  </si>
  <si>
    <t>Only own tenant's documents</t>
  </si>
  <si>
    <t>QL-DOC-AI-002</t>
  </si>
  <si>
    <t>Clause extraction keeps the clause reference and section</t>
  </si>
  <si>
    <t>Spec with numbered clauses</t>
  </si>
  <si>
    <t>Section and clause captured, so a BOQ item can carry them instead of being priced generically</t>
  </si>
  <si>
    <t>QL-DOC-PERF-001</t>
  </si>
  <si>
    <t>A 500-document register pages rather than loading whole</t>
  </si>
  <si>
    <t>Paged; first paint inside budget</t>
  </si>
  <si>
    <t>P0 · Rates, assemblies, quantities, estimate versions, budget, commitments, actuals, forecast, cost codes.</t>
  </si>
  <si>
    <t>QL-CST-API-001</t>
  </si>
  <si>
    <t>R4</t>
  </si>
  <si>
    <t>A rate cannot be changed on an issued estimate</t>
  </si>
  <si>
    <t>Issued estimate</t>
  </si>
  <si>
    <t>Edit a rate</t>
  </si>
  <si>
    <t>Refused; supersede instead</t>
  </si>
  <si>
    <t>QL-CST-UNIT-001</t>
  </si>
  <si>
    <t>A cost line cannot exist without a quantity source</t>
  </si>
  <si>
    <t>Line with no measurement or manual basis</t>
  </si>
  <si>
    <t>Save</t>
  </si>
  <si>
    <t>Refused. An unsourced number in a bill is the thing this product exists to prevent</t>
  </si>
  <si>
    <t>QL-CST-SEC-001</t>
  </si>
  <si>
    <t>Margin is not visible to a role without commercial permission</t>
  </si>
  <si>
    <t>Estimator without commercial rights</t>
  </si>
  <si>
    <t>Read the estimate</t>
  </si>
  <si>
    <t>Margin withheld</t>
  </si>
  <si>
    <t>QL-CST-UNIT-002</t>
  </si>
  <si>
    <t>A priced line equals quantity × rate</t>
  </si>
  <si>
    <t>BOQ line and rate</t>
  </si>
  <si>
    <t>Price</t>
  </si>
  <si>
    <t>Exact to the minor unit; no floating drift</t>
  </si>
  <si>
    <t>QL-CST-UNIT-003</t>
  </si>
  <si>
    <t>A rate cited but absent from the library is flagged</t>
  </si>
  <si>
    <t>cost_line references a code not in the rate book</t>
  </si>
  <si>
    <t>Flagged as unresolved rather than priced at zero. Real: cost lines cite rate_book_ref C20 while the book holds C25 and C32</t>
  </si>
  <si>
    <t>QL-CST-UNIT-004</t>
  </si>
  <si>
    <t>Currency of the project is preserved, not converted silently</t>
  </si>
  <si>
    <t>Project priced in CAD, display set to USD</t>
  </si>
  <si>
    <t>Read totals</t>
  </si>
  <si>
    <t>Shown in CAD. Converting without live rates would invent a number</t>
  </si>
  <si>
    <t>QL-CST-UNIT-005</t>
  </si>
  <si>
    <t>Rounding is applied once, at presentation</t>
  </si>
  <si>
    <t>Many lines</t>
  </si>
  <si>
    <t>Sum</t>
  </si>
  <si>
    <t>Sum of unrounded lines, rounded once; not the sum of rounded lines</t>
  </si>
  <si>
    <t>QL-CST-UNIT-006</t>
  </si>
  <si>
    <t>A zero-quantity line prices to zero, not to the rate</t>
  </si>
  <si>
    <t>Quantity 0</t>
  </si>
  <si>
    <t>0</t>
  </si>
  <si>
    <t>QL-CST-UNIT-007</t>
  </si>
  <si>
    <t>A negative quantity is refused or explicitly permitted as an omission</t>
  </si>
  <si>
    <t>Quantity -5</t>
  </si>
  <si>
    <t>Deliberate behaviour, documented; never silently absolute</t>
  </si>
  <si>
    <t>QL-CST-API-002</t>
  </si>
  <si>
    <t>Estimate versions are immutable once issued</t>
  </si>
  <si>
    <t>Attempt edit</t>
  </si>
  <si>
    <t>New version created; the issued one unchanged</t>
  </si>
  <si>
    <t>QL-CST-E2E-001</t>
  </si>
  <si>
    <t>An estimate consumes a pinned quantity snapshot</t>
  </si>
  <si>
    <t>BOQ changes after the estimate</t>
  </si>
  <si>
    <t>Still reflects the snapshot it was built from, and says so</t>
  </si>
  <si>
    <t>QL-CST-PERF-001</t>
  </si>
  <si>
    <t>A 10,000-line bill prices within budget</t>
  </si>
  <si>
    <t>Inside budget</t>
  </si>
  <si>
    <t>P1 · Creation, routing, responsibility, SLA, review cycles, linked drawings/specs, approvals, closeout.</t>
  </si>
  <si>
    <t>QL-RFI-E2E-001</t>
  </si>
  <si>
    <t>RFI to change order chain (GJ-03)</t>
  </si>
  <si>
    <t>Open RFI</t>
  </si>
  <si>
    <t>Respond, quote, approve</t>
  </si>
  <si>
    <t>Response, quantity, quotation, approval, budget and schedule form one auditable chain</t>
  </si>
  <si>
    <t>QL-RFI-UNIT-001</t>
  </si>
  <si>
    <t>SLA clock excludes non-working days</t>
  </si>
  <si>
    <t>RFI raised Friday</t>
  </si>
  <si>
    <t>Compute due date</t>
  </si>
  <si>
    <t>Excludes the weekend per the project calendar</t>
  </si>
  <si>
    <t>QL-RFI-UNIT-002</t>
  </si>
  <si>
    <t>Reassignment mid-cycle keeps the original clock</t>
  </si>
  <si>
    <t>Reassigned RFI</t>
  </si>
  <si>
    <t>Read due date</t>
  </si>
  <si>
    <t>Unchanged; reassignment is not a reset</t>
  </si>
  <si>
    <t>QL-RFI-API-001</t>
  </si>
  <si>
    <t>An RFI cannot close with an unanswered question</t>
  </si>
  <si>
    <t>Open sub-question</t>
  </si>
  <si>
    <t>Close</t>
  </si>
  <si>
    <t>Refused</t>
  </si>
  <si>
    <t>QL-RFI-UNIT-003</t>
  </si>
  <si>
    <t>A superseded drawing referenced by an open RFI is flagged</t>
  </si>
  <si>
    <t>Drawing revised after the RFI</t>
  </si>
  <si>
    <t>Open the RFI</t>
  </si>
  <si>
    <t>Flagged as referencing a superseded revision</t>
  </si>
  <si>
    <t>P0 · Potential change, change event, quotation, approval, budget and schedule impact, audit history.</t>
  </si>
  <si>
    <t>QL-CHG-E2E-001</t>
  </si>
  <si>
    <t>Potential change becomes an approved change with impacts</t>
  </si>
  <si>
    <t>Priced change</t>
  </si>
  <si>
    <t>Approve</t>
  </si>
  <si>
    <t>Budget and schedule impacts applied only on approval</t>
  </si>
  <si>
    <t>QL-CHG-UNIT-001</t>
  </si>
  <si>
    <t>No route from accepted to incorporated without governed approval</t>
  </si>
  <si>
    <t>Accepted change</t>
  </si>
  <si>
    <t>Attempt to incorporate</t>
  </si>
  <si>
    <t>Refused. Collaborative acceptance is not commercial approval</t>
  </si>
  <si>
    <t>QL-CHG-UNIT-002</t>
  </si>
  <si>
    <t>An approval on a stale baseline is refused</t>
  </si>
  <si>
    <t>Baseline moved after quotation</t>
  </si>
  <si>
    <t>Refused as stale; requotation required</t>
  </si>
  <si>
    <t>QL-CHG-API-001</t>
  </si>
  <si>
    <t>Change history is immutable and complete</t>
  </si>
  <si>
    <t>Approved change</t>
  </si>
  <si>
    <t>Read history</t>
  </si>
  <si>
    <t>Every state transition with actor and timestamp</t>
  </si>
  <si>
    <t>QL-CHG-UNIT-003</t>
  </si>
  <si>
    <t>A change reduced to zero value still records its schedule impact</t>
  </si>
  <si>
    <t>Zero-cost change</t>
  </si>
  <si>
    <t>Schedule impact retained</t>
  </si>
  <si>
    <t>P1 · Daily logs, inspections, photos, punch, offline capture, sync, device permissions.</t>
  </si>
  <si>
    <t>QL-FLD-E2E-001</t>
  </si>
  <si>
    <t>Daily log with photos syncs from the field</t>
  </si>
  <si>
    <t>Mobile, online</t>
  </si>
  <si>
    <t>Submit</t>
  </si>
  <si>
    <t>Recorded with author, time and location</t>
  </si>
  <si>
    <t>QL-FLD-UNIT-001</t>
  </si>
  <si>
    <t>R9</t>
  </si>
  <si>
    <t>Offline capture then reconnect does not duplicate</t>
  </si>
  <si>
    <t>Two offline entries, reconnect</t>
  </si>
  <si>
    <t>Sync</t>
  </si>
  <si>
    <t>Two records, not four</t>
  </si>
  <si>
    <t>QL-FLD-UNIT-002</t>
  </si>
  <si>
    <t>Same record edited offline on two devices conflicts, not overwrites</t>
  </si>
  <si>
    <t>Divergent edits</t>
  </si>
  <si>
    <t>Sync both</t>
  </si>
  <si>
    <t>Conflict surfaced for a person; last-write does not silently win</t>
  </si>
  <si>
    <t>QL-FLD-UNIT-003</t>
  </si>
  <si>
    <t>Sync interrupted mid-batch resumes without loss</t>
  </si>
  <si>
    <t>Kill mid-sync</t>
  </si>
  <si>
    <t>Reconnect</t>
  </si>
  <si>
    <t>All records land exactly once</t>
  </si>
  <si>
    <t>QL-FLD-SEC-001</t>
  </si>
  <si>
    <t>Revoked device cannot sync queued records</t>
  </si>
  <si>
    <t>Revoked mid-offline</t>
  </si>
  <si>
    <t>Rejected; queue not accepted</t>
  </si>
  <si>
    <t>QL-FLD-PERF-001</t>
  </si>
  <si>
    <t>200 queued photos sync without exhausting memory</t>
  </si>
  <si>
    <t>Large queue</t>
  </si>
  <si>
    <t>Completes; bounded memory</t>
  </si>
  <si>
    <t>P1 · Inspections, NCRs, observations, corrective actions, permits, checklists and evidence.</t>
  </si>
  <si>
    <t>QL-QHS-E2E-001</t>
  </si>
  <si>
    <t>Inspection with a hold point blocks progress until released</t>
  </si>
  <si>
    <t>ITP with hold</t>
  </si>
  <si>
    <t>Attempt to proceed</t>
  </si>
  <si>
    <t>Blocked until released by an authorised role</t>
  </si>
  <si>
    <t>QL-QHS-UNIT-001</t>
  </si>
  <si>
    <t>An NCR cannot close without corrective action evidence</t>
  </si>
  <si>
    <t>NCR without evidence</t>
  </si>
  <si>
    <t>QL-QHS-UNIT-002</t>
  </si>
  <si>
    <t>An expired permit invalidates dependent work authorisation</t>
  </si>
  <si>
    <t>Permit past expiry</t>
  </si>
  <si>
    <t>Check workface readiness</t>
  </si>
  <si>
    <t>Not ready; permit named as the reason</t>
  </si>
  <si>
    <t>QL-QHS-SEC-001</t>
  </si>
  <si>
    <t>Safety observations respect project membership</t>
  </si>
  <si>
    <t>Non-member</t>
  </si>
  <si>
    <t>Read observations</t>
  </si>
  <si>
    <t>P0 · Commitments, progress claims, invoices, payments, retention, forecast reconciliation.</t>
  </si>
  <si>
    <t>QL-FIN-UNIT-001</t>
  </si>
  <si>
    <t>Progress claim equals accepted progress × contract value</t>
  </si>
  <si>
    <t>Known progress</t>
  </si>
  <si>
    <t>Exact; reconciles to the commitment</t>
  </si>
  <si>
    <t>QL-FIN-UNIT-002</t>
  </si>
  <si>
    <t>Retention is withheld at the right rate and released on the right event</t>
  </si>
  <si>
    <t>5% retention</t>
  </si>
  <si>
    <t>Compute through practical completion</t>
  </si>
  <si>
    <t>Withheld and released per the contract terms</t>
  </si>
  <si>
    <t>QL-FIN-UNIT-003</t>
  </si>
  <si>
    <t>An overpayment against a commitment is refused or flagged</t>
  </si>
  <si>
    <t>Claim exceeding remaining commitment</t>
  </si>
  <si>
    <t>Refused or flagged; never silently accepted</t>
  </si>
  <si>
    <t>QL-FIN-UNIT-004</t>
  </si>
  <si>
    <t>Forecast reconciles to budget plus approved changes</t>
  </si>
  <si>
    <t>Approved changes present</t>
  </si>
  <si>
    <t>Reconcile</t>
  </si>
  <si>
    <t>Difference is zero, or itemised</t>
  </si>
  <si>
    <t>QL-FIN-UNIT-005</t>
  </si>
  <si>
    <t>Currency rounding never loses a unit across a thousand lines</t>
  </si>
  <si>
    <t>1,000 lines</t>
  </si>
  <si>
    <t>Sum of parts equals the whole to the minor unit</t>
  </si>
  <si>
    <t>QL-FIN-SEC-001</t>
  </si>
  <si>
    <t>Financial totals are not readable without billing permission</t>
  </si>
  <si>
    <t>Viewer</t>
  </si>
  <si>
    <t>P0 · Extraction, classification, RAG, reasoning, citations, agents, model routing, cost controls.</t>
  </si>
  <si>
    <t>QL-AI-AI-001</t>
  </si>
  <si>
    <t>A grounded question is answered with its source</t>
  </si>
  <si>
    <t>Project with a parsed specification</t>
  </si>
  <si>
    <t>Ask what concrete grade is specified</t>
  </si>
  <si>
    <t>Correct grade, with the clause and revision it came from, openable from the answer</t>
  </si>
  <si>
    <t>QL-AI-AI-002</t>
  </si>
  <si>
    <t>Retrieval answers from the current revision after supersession</t>
  </si>
  <si>
    <t>Rev B supersedes Rev A</t>
  </si>
  <si>
    <t>Ask the same question again</t>
  </si>
  <si>
    <t>Answers from Rev B and says which revision it used</t>
  </si>
  <si>
    <t>QL-AI-AI-003</t>
  </si>
  <si>
    <t>An unanswerable contractual question is abstained on</t>
  </si>
  <si>
    <t>Question with no supporting evidence</t>
  </si>
  <si>
    <t>Ask</t>
  </si>
  <si>
    <t>Abstains and says evidence is insufficient; no invented answer</t>
  </si>
  <si>
    <t>QL-AI-AI-004</t>
  </si>
  <si>
    <t>Every consequential claim carries a citation that entails it</t>
  </si>
  <si>
    <t>Answer with figures</t>
  </si>
  <si>
    <t>Check citations</t>
  </si>
  <si>
    <t>Each cited source actually supports the claim; a citation that does not is a failure</t>
  </si>
  <si>
    <t>QL-AI-AI-005</t>
  </si>
  <si>
    <t>A citation to an element not present in the source is flagged</t>
  </si>
  <si>
    <t>Answer citing a CAD element absent from the parsed drawing</t>
  </si>
  <si>
    <t>Validate</t>
  </si>
  <si>
    <t>Flagged and confidence reduced. Real: a BOQ line cited element A-101 not found, and was surfaced at 0.400</t>
  </si>
  <si>
    <t>QL-AI-SEC-001</t>
  </si>
  <si>
    <t>Retrieval never returns another tenant's content</t>
  </si>
  <si>
    <t>Two tenants, similar projects</t>
  </si>
  <si>
    <t>Own tenant only</t>
  </si>
  <si>
    <t>QL-AI-AI-006</t>
  </si>
  <si>
    <t>Prompt injection inside an uploaded document is not obeyed</t>
  </si>
  <si>
    <t>Document containing 'ignore previous instructions'</t>
  </si>
  <si>
    <t>Ingest and ask</t>
  </si>
  <si>
    <t>Instruction not followed; treated as content</t>
  </si>
  <si>
    <t>QL-AI-AI-007</t>
  </si>
  <si>
    <t>An agent cannot apply a change without human approval</t>
  </si>
  <si>
    <t>Agent proposes an edit</t>
  </si>
  <si>
    <t>Observe</t>
  </si>
  <si>
    <t>Proposal only; nothing applied until confirmed</t>
  </si>
  <si>
    <t>QL-AI-UNIT-001</t>
  </si>
  <si>
    <t>Token usage recorded is measured, not constant</t>
  </si>
  <si>
    <t>Two questions of very different size</t>
  </si>
  <si>
    <t>Compare ledger rows</t>
  </si>
  <si>
    <t>Different token counts and costs. Regression: the worker returned 500/120/8 for every job, so every row read identically</t>
  </si>
  <si>
    <t>QL-AI-UNIT-002</t>
  </si>
  <si>
    <t>A stub result is never labelled with a model that did not run</t>
  </si>
  <si>
    <t>No API key, stub permitted</t>
  </si>
  <si>
    <t>Model reads stub:deterministic</t>
  </si>
  <si>
    <t>QL-AI-UNIT-003</t>
  </si>
  <si>
    <t>A call that answers but yields nothing parseable is recorded as such</t>
  </si>
  <si>
    <t>Response with unparseable content</t>
  </si>
  <si>
    <t>Record</t>
  </si>
  <si>
    <t>validation_status no_outputs, with its real token cost. It bills like a good answer and must not look like one</t>
  </si>
  <si>
    <t>QL-AI-UNIT-004</t>
  </si>
  <si>
    <t>A retried job counts every attempt in the ledger</t>
  </si>
  <si>
    <t>Job failing twice then succeeding</t>
  </si>
  <si>
    <t>Read ledger</t>
  </si>
  <si>
    <t>Three rows. Reporting from ai_job alone would show one and under-bill</t>
  </si>
  <si>
    <t>QL-AI-SEC-002</t>
  </si>
  <si>
    <t>The worker cannot reach the database</t>
  </si>
  <si>
    <t>Worker process</t>
  </si>
  <si>
    <t>Attempt any store access</t>
  </si>
  <si>
    <t>No driver, no credentials, no path</t>
  </si>
  <si>
    <t>QL-AI-AI-008</t>
  </si>
  <si>
    <t>Every tool_use in one turn is answered</t>
  </si>
  <si>
    <t>Model emits three tool calls in one message</t>
  </si>
  <si>
    <t>Run the loop</t>
  </si>
  <si>
    <t>All three answered. Regression: only the first was, and the next request was rejected outright</t>
  </si>
  <si>
    <t>QL-AI-PERF-001</t>
  </si>
  <si>
    <t>Cost and latency per successful task stay within budget</t>
  </si>
  <si>
    <t>Baseline suite</t>
  </si>
  <si>
    <t>Within the approved baseline; a regression is a release blocker</t>
  </si>
  <si>
    <t>P0 · Canonical model, connectors, mappings, events, retries, reconciliation, versioning, customer-specific adapters.</t>
  </si>
  <si>
    <t>QL-INT-INTG-001</t>
  </si>
  <si>
    <t>R7</t>
  </si>
  <si>
    <t>A connector maps an external payload to the canonical model</t>
  </si>
  <si>
    <t>Simulator fixture</t>
  </si>
  <si>
    <t>Canonical envelope matches the golden mapping</t>
  </si>
  <si>
    <t>QL-INT-INTG-002</t>
  </si>
  <si>
    <t>A duplicate external event is idempotent</t>
  </si>
  <si>
    <t>Same event twice</t>
  </si>
  <si>
    <t>Deliver</t>
  </si>
  <si>
    <t>One record</t>
  </si>
  <si>
    <t>QL-INT-INTG-003</t>
  </si>
  <si>
    <t>An out-of-order event does not overwrite newer state</t>
  </si>
  <si>
    <t>Older event after newer</t>
  </si>
  <si>
    <t>Newer state retained</t>
  </si>
  <si>
    <t>QL-INT-INTG-004</t>
  </si>
  <si>
    <t>An unknown field in an external payload does not silently drop data</t>
  </si>
  <si>
    <t>Payload with a new field</t>
  </si>
  <si>
    <t>Recorded or reported; never quietly discarded</t>
  </si>
  <si>
    <t>QL-INT-INTG-005</t>
  </si>
  <si>
    <t>A schema change upstream fails the contract test before production</t>
  </si>
  <si>
    <t>Changed provider schema</t>
  </si>
  <si>
    <t>Run contracts</t>
  </si>
  <si>
    <t>Contract fails in CI</t>
  </si>
  <si>
    <t>QL-INT-INTG-006</t>
  </si>
  <si>
    <t>Reconciliation reports a source/target difference rather than resolving it</t>
  </si>
  <si>
    <t>Deliberate divergence</t>
  </si>
  <si>
    <t>Difference reported for a person</t>
  </si>
  <si>
    <t>QL-INT-INTG-007</t>
  </si>
  <si>
    <t>Replay after an outage restores without duplication</t>
  </si>
  <si>
    <t>Queue backlog</t>
  </si>
  <si>
    <t>Replay</t>
  </si>
  <si>
    <t>Exactly once</t>
  </si>
  <si>
    <t>QL-INT-SEC-001</t>
  </si>
  <si>
    <t>Connector credentials never appear in logs or errors</t>
  </si>
  <si>
    <t>Force a failure</t>
  </si>
  <si>
    <t>Read logs</t>
  </si>
  <si>
    <t>Redacted</t>
  </si>
  <si>
    <t>P0 · Configuration, roles, policies, licensing, feature flags, audit, data export/retention.</t>
  </si>
  <si>
    <t>QL-ADM-SEC-001</t>
  </si>
  <si>
    <t>Role changes take effect on the next request, not the next login</t>
  </si>
  <si>
    <t>Role revoked</t>
  </si>
  <si>
    <t>Act immediately</t>
  </si>
  <si>
    <t>Denied at once</t>
  </si>
  <si>
    <t>QL-ADM-UNIT-001</t>
  </si>
  <si>
    <t>The last owner cannot be removed or demoted</t>
  </si>
  <si>
    <t>Single owner</t>
  </si>
  <si>
    <t>Attempt</t>
  </si>
  <si>
    <t>QL-ADM-SEC-002</t>
  </si>
  <si>
    <t>Ownership transfer requires the current owner</t>
  </si>
  <si>
    <t>Non-owner admin</t>
  </si>
  <si>
    <t>Transfer</t>
  </si>
  <si>
    <t>QL-ADM-UNIT-002</t>
  </si>
  <si>
    <t>A feature flag off removes the capability, not just the button</t>
  </si>
  <si>
    <t>Flag off</t>
  </si>
  <si>
    <t>Call the endpoint directly</t>
  </si>
  <si>
    <t>QL-ADM-API-001</t>
  </si>
  <si>
    <t>Data export contains everything the tenant owns and nothing more</t>
  </si>
  <si>
    <t>Two tenants</t>
  </si>
  <si>
    <t>Complete for own tenant; nothing foreign</t>
  </si>
  <si>
    <t>QL-ADM-UNIT-003</t>
  </si>
  <si>
    <t>Usage and cost reporting counts retries</t>
  </si>
  <si>
    <t>Job with three attempts</t>
  </si>
  <si>
    <t>Read usage</t>
  </si>
  <si>
    <t>All three counted</t>
  </si>
  <si>
    <t>QL-ADM-UNIT-004</t>
  </si>
  <si>
    <t>A closed month is never extrapolated</t>
  </si>
  <si>
    <t>Past month selected</t>
  </si>
  <si>
    <t>Read projection</t>
  </si>
  <si>
    <t>Shows the actual. Regression: a finished month was labelled 'projected', dressing a final figure as an estimate</t>
  </si>
  <si>
    <t>QL-ADM-SEC-003</t>
  </si>
  <si>
    <t>No credential is rendered in any product surface</t>
  </si>
  <si>
    <t>Every screen and seed path</t>
  </si>
  <si>
    <t>Scan</t>
  </si>
  <si>
    <t>None. Regression: the login page pre-filled a working password and printed it beneath the form</t>
  </si>
  <si>
    <t>QL-ADM-OPS-001</t>
  </si>
  <si>
    <t>OPS</t>
  </si>
  <si>
    <t>R12</t>
  </si>
  <si>
    <t>A deployment can be rolled back with data intact</t>
  </si>
  <si>
    <t>Pre-prod release</t>
  </si>
  <si>
    <t>Roll back</t>
  </si>
  <si>
    <t>Application and data restored; drill evidence recorded</t>
  </si>
  <si>
    <t>QL-ADM-OPS-002</t>
  </si>
  <si>
    <t>Backup restore is proven, not assumed</t>
  </si>
  <si>
    <t>Recent backup</t>
  </si>
  <si>
    <t>Restore to a clean environment</t>
  </si>
  <si>
    <t>Restores and verifies; audit chain still valid</t>
  </si>
  <si>
    <t>Top product risks</t>
  </si>
  <si>
    <t>From the blueprint. Every case in this book that mitigates one names it in its Risk column.</t>
  </si>
  <si>
    <t>ID</t>
  </si>
  <si>
    <t>Cases covering it</t>
  </si>
  <si>
    <t>Tenant data exposure</t>
  </si>
  <si>
    <t>Wrong quantity / BOQ</t>
  </si>
  <si>
    <t>Incorrect schedule math</t>
  </si>
  <si>
    <t>Financial calculation error</t>
  </si>
  <si>
    <t>AI hallucination</t>
  </si>
  <si>
    <t>Revision propagation failure</t>
  </si>
  <si>
    <t>Integration drift</t>
  </si>
  <si>
    <t>Migration loss</t>
  </si>
  <si>
    <t>Offline sync conflict</t>
  </si>
  <si>
    <t>Performance degradation</t>
  </si>
  <si>
    <t>Arabic/RTL defect</t>
  </si>
  <si>
    <t>Unrecoverable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</si>
</sst>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2303F"/>
      <name val="Calibri"/>
    </font>
    <font>
      <sz val="10"/>
      <color rgb="FF4A6572"/>
      <name val="Calibri"/>
    </font>
    <font>
      <b/>
      <sz val="10"/>
      <color rgb="FFFFFFFF"/>
      <name val="Calibri"/>
    </font>
    <font>
      <sz val="9"/>
      <name val="Calibri"/>
    </font>
    <font>
      <b/>
      <sz val="9"/>
      <name val="Consolas"/>
    </font>
    <font>
      <b/>
      <sz val="10"/>
      <name val="Calibri"/>
    </font>
    <font>
      <sz val="10"/>
      <name val="Calibri"/>
    </font>
    <font>
      <b/>
      <sz val="10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12303F"/>
      </patternFill>
    </fill>
    <fill>
      <patternFill patternType="solid">
        <fgColor rgb="FFFFEBEE"/>
      </patternFill>
    </fill>
    <fill>
      <patternFill patternType="solid">
        <fgColor rgb="FFFFCDD2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42"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  <dxf>
      <fill>
        <patternFill patternType="solid">
          <fgColor rgb="FFFFE0B2"/>
        </patternFill>
      </fill>
    </dxf>
    <dxf>
      <fill>
        <patternFill patternType="solid">
          <fgColor rgb="FFC8E6C9"/>
        </patternFill>
      </fill>
    </dxf>
    <dxf>
      <font>
        <b/>
      </font>
      <fill>
        <patternFill patternType="solid">
          <fgColor rgb="FFFFCDD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5" sqref="B5"/>
    </sheetView>
  </sheetViews>
  <sheetFormatPr defaultRowHeight="15" x14ac:dyDescent="0.25"/>
  <cols>
    <col min="1" max="1" width="26" customWidth="1"/>
    <col min="2" max="2" width="8" customWidth="1"/>
    <col min="3" max="5" width="9" customWidth="1"/>
    <col min="6" max="6" width="11" customWidth="1"/>
  </cols>
  <sheetData>
    <row r="1" spans="1:6" ht="21.95" customHeight="1" x14ac:dyDescent="0.35">
      <c r="A1" s="19" t="s">
        <v>0</v>
      </c>
      <c r="B1" s="18"/>
      <c r="C1" s="18"/>
      <c r="D1" s="18"/>
      <c r="E1" s="18"/>
      <c r="F1" s="18"/>
    </row>
    <row r="2" spans="1:6" x14ac:dyDescent="0.25">
      <c r="A2" s="17" t="s">
        <v>1</v>
      </c>
      <c r="B2" s="18"/>
      <c r="C2" s="18"/>
      <c r="D2" s="18"/>
      <c r="E2" s="18"/>
      <c r="F2" s="18"/>
    </row>
    <row r="6" spans="1:6" ht="3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</row>
    <row r="7" spans="1:6" x14ac:dyDescent="0.25">
      <c r="A7" s="3" t="s">
        <v>9</v>
      </c>
      <c r="B7" s="4" t="s">
        <v>10</v>
      </c>
      <c r="C7" s="5">
        <v>15</v>
      </c>
      <c r="D7" s="5">
        <v>3</v>
      </c>
      <c r="E7" s="5">
        <v>8</v>
      </c>
      <c r="F7" s="5">
        <v>4</v>
      </c>
    </row>
    <row r="8" spans="1:6" x14ac:dyDescent="0.25">
      <c r="A8" s="3" t="s">
        <v>11</v>
      </c>
      <c r="B8" s="4" t="s">
        <v>10</v>
      </c>
      <c r="C8" s="5">
        <v>11</v>
      </c>
      <c r="D8" s="5">
        <v>2</v>
      </c>
      <c r="E8" s="5">
        <v>7</v>
      </c>
      <c r="F8" s="5">
        <v>2</v>
      </c>
    </row>
    <row r="9" spans="1:6" x14ac:dyDescent="0.25">
      <c r="A9" s="3" t="s">
        <v>12</v>
      </c>
      <c r="B9" s="4" t="s">
        <v>10</v>
      </c>
      <c r="C9" s="5">
        <v>12</v>
      </c>
      <c r="D9" s="5">
        <v>3</v>
      </c>
      <c r="E9" s="5">
        <v>6</v>
      </c>
      <c r="F9" s="5">
        <v>3</v>
      </c>
    </row>
    <row r="10" spans="1:6" x14ac:dyDescent="0.25">
      <c r="A10" s="3" t="s">
        <v>13</v>
      </c>
      <c r="B10" s="4" t="s">
        <v>10</v>
      </c>
      <c r="C10" s="5">
        <v>13</v>
      </c>
      <c r="D10" s="5">
        <v>3</v>
      </c>
      <c r="E10" s="5">
        <v>7</v>
      </c>
      <c r="F10" s="5">
        <v>3</v>
      </c>
    </row>
    <row r="11" spans="1:6" x14ac:dyDescent="0.25">
      <c r="A11" s="3" t="s">
        <v>14</v>
      </c>
      <c r="B11" s="4" t="s">
        <v>10</v>
      </c>
      <c r="C11" s="5">
        <v>9</v>
      </c>
      <c r="D11" s="5">
        <v>2</v>
      </c>
      <c r="E11" s="5">
        <v>5</v>
      </c>
      <c r="F11" s="5">
        <v>2</v>
      </c>
    </row>
    <row r="12" spans="1:6" x14ac:dyDescent="0.25">
      <c r="A12" s="3" t="s">
        <v>15</v>
      </c>
      <c r="B12" s="4" t="s">
        <v>10</v>
      </c>
      <c r="C12" s="5">
        <v>12</v>
      </c>
      <c r="D12" s="5">
        <v>2</v>
      </c>
      <c r="E12" s="5">
        <v>7</v>
      </c>
      <c r="F12" s="5">
        <v>3</v>
      </c>
    </row>
    <row r="13" spans="1:6" x14ac:dyDescent="0.25">
      <c r="A13" s="3" t="s">
        <v>16</v>
      </c>
      <c r="B13" s="6" t="s">
        <v>17</v>
      </c>
      <c r="C13" s="5">
        <v>5</v>
      </c>
      <c r="D13" s="5">
        <v>1</v>
      </c>
      <c r="E13" s="5">
        <v>3</v>
      </c>
      <c r="F13" s="5">
        <v>1</v>
      </c>
    </row>
    <row r="14" spans="1:6" x14ac:dyDescent="0.25">
      <c r="A14" s="3" t="s">
        <v>18</v>
      </c>
      <c r="B14" s="4" t="s">
        <v>10</v>
      </c>
      <c r="C14" s="5">
        <v>5</v>
      </c>
      <c r="D14" s="5">
        <v>2</v>
      </c>
      <c r="E14" s="5">
        <v>2</v>
      </c>
      <c r="F14" s="5">
        <v>1</v>
      </c>
    </row>
    <row r="15" spans="1:6" x14ac:dyDescent="0.25">
      <c r="A15" s="3" t="s">
        <v>19</v>
      </c>
      <c r="B15" s="6" t="s">
        <v>17</v>
      </c>
      <c r="C15" s="5">
        <v>6</v>
      </c>
      <c r="D15" s="5">
        <v>1</v>
      </c>
      <c r="E15" s="5">
        <v>4</v>
      </c>
      <c r="F15" s="5">
        <v>1</v>
      </c>
    </row>
    <row r="16" spans="1:6" x14ac:dyDescent="0.25">
      <c r="A16" s="3" t="s">
        <v>20</v>
      </c>
      <c r="B16" s="6" t="s">
        <v>17</v>
      </c>
      <c r="C16" s="5">
        <v>4</v>
      </c>
      <c r="D16" s="5">
        <v>1</v>
      </c>
      <c r="E16" s="5">
        <v>2</v>
      </c>
      <c r="F16" s="5">
        <v>1</v>
      </c>
    </row>
    <row r="17" spans="1:6" x14ac:dyDescent="0.25">
      <c r="A17" s="3" t="s">
        <v>21</v>
      </c>
      <c r="B17" s="4" t="s">
        <v>10</v>
      </c>
      <c r="C17" s="5">
        <v>6</v>
      </c>
      <c r="D17" s="5">
        <v>1</v>
      </c>
      <c r="E17" s="5">
        <v>4</v>
      </c>
      <c r="F17" s="5">
        <v>1</v>
      </c>
    </row>
    <row r="18" spans="1:6" x14ac:dyDescent="0.25">
      <c r="A18" s="3" t="s">
        <v>22</v>
      </c>
      <c r="B18" s="4" t="s">
        <v>10</v>
      </c>
      <c r="C18" s="5">
        <v>15</v>
      </c>
      <c r="D18" s="5">
        <v>2</v>
      </c>
      <c r="E18" s="5">
        <v>6</v>
      </c>
      <c r="F18" s="5">
        <v>7</v>
      </c>
    </row>
    <row r="19" spans="1:6" x14ac:dyDescent="0.25">
      <c r="A19" s="3" t="s">
        <v>23</v>
      </c>
      <c r="B19" s="4" t="s">
        <v>10</v>
      </c>
      <c r="C19" s="5">
        <v>8</v>
      </c>
      <c r="D19" s="5">
        <v>1</v>
      </c>
      <c r="E19" s="5">
        <v>5</v>
      </c>
      <c r="F19" s="5">
        <v>2</v>
      </c>
    </row>
    <row r="20" spans="1:6" x14ac:dyDescent="0.25">
      <c r="A20" s="3" t="s">
        <v>24</v>
      </c>
      <c r="B20" s="4" t="s">
        <v>10</v>
      </c>
      <c r="C20" s="5">
        <v>10</v>
      </c>
      <c r="D20" s="5">
        <v>2</v>
      </c>
      <c r="E20" s="5">
        <v>6</v>
      </c>
      <c r="F20" s="5">
        <v>2</v>
      </c>
    </row>
    <row r="21" spans="1:6" x14ac:dyDescent="0.25">
      <c r="A21" s="1" t="s">
        <v>25</v>
      </c>
      <c r="B21" s="1"/>
      <c r="C21" s="1">
        <f>SUM(C7:C20)</f>
        <v>131</v>
      </c>
      <c r="D21" s="1">
        <f>SUM(D7:D20)</f>
        <v>26</v>
      </c>
      <c r="E21" s="1">
        <f>SUM(E7:E20)</f>
        <v>72</v>
      </c>
      <c r="F21" s="1">
        <f>SUM(F7:F20)</f>
        <v>33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ht="36" x14ac:dyDescent="0.25">
      <c r="A5" s="7" t="s">
        <v>40</v>
      </c>
      <c r="B5" s="8" t="s">
        <v>41</v>
      </c>
      <c r="C5" s="9" t="s">
        <v>8</v>
      </c>
      <c r="D5" s="8" t="s">
        <v>42</v>
      </c>
      <c r="E5" s="10" t="s">
        <v>43</v>
      </c>
      <c r="F5" s="10" t="s">
        <v>44</v>
      </c>
      <c r="G5" s="10" t="s">
        <v>45</v>
      </c>
      <c r="H5" s="10" t="s">
        <v>46</v>
      </c>
      <c r="I5" s="11" t="s">
        <v>10</v>
      </c>
      <c r="J5" s="8"/>
      <c r="K5" s="12"/>
      <c r="L5" s="8" t="s">
        <v>47</v>
      </c>
      <c r="M5" s="8" t="s">
        <v>48</v>
      </c>
      <c r="N5" s="12"/>
      <c r="O5" s="10"/>
    </row>
    <row r="6" spans="1:15" ht="24" x14ac:dyDescent="0.25">
      <c r="A6" s="7" t="s">
        <v>49</v>
      </c>
      <c r="B6" s="8" t="s">
        <v>41</v>
      </c>
      <c r="C6" s="9" t="s">
        <v>8</v>
      </c>
      <c r="D6" s="8" t="s">
        <v>42</v>
      </c>
      <c r="E6" s="10" t="s">
        <v>50</v>
      </c>
      <c r="F6" s="10" t="s">
        <v>51</v>
      </c>
      <c r="G6" s="10" t="s">
        <v>52</v>
      </c>
      <c r="H6" s="10" t="s">
        <v>53</v>
      </c>
      <c r="I6" s="11" t="s">
        <v>10</v>
      </c>
      <c r="J6" s="8"/>
      <c r="K6" s="12"/>
      <c r="L6" s="8" t="s">
        <v>47</v>
      </c>
      <c r="M6" s="8" t="s">
        <v>48</v>
      </c>
      <c r="N6" s="12"/>
      <c r="O6" s="10"/>
    </row>
    <row r="7" spans="1:15" ht="24" x14ac:dyDescent="0.25">
      <c r="A7" s="7" t="s">
        <v>54</v>
      </c>
      <c r="B7" s="8" t="s">
        <v>41</v>
      </c>
      <c r="C7" s="13" t="s">
        <v>7</v>
      </c>
      <c r="D7" s="8" t="s">
        <v>42</v>
      </c>
      <c r="E7" s="10" t="s">
        <v>55</v>
      </c>
      <c r="F7" s="10" t="s">
        <v>56</v>
      </c>
      <c r="G7" s="10" t="s">
        <v>57</v>
      </c>
      <c r="H7" s="10" t="s">
        <v>58</v>
      </c>
      <c r="I7" s="11" t="s">
        <v>10</v>
      </c>
      <c r="J7" s="8"/>
      <c r="K7" s="12"/>
      <c r="L7" s="8" t="s">
        <v>47</v>
      </c>
      <c r="M7" s="8" t="s">
        <v>48</v>
      </c>
      <c r="N7" s="12"/>
      <c r="O7" s="10"/>
    </row>
    <row r="8" spans="1:15" ht="24" x14ac:dyDescent="0.25">
      <c r="A8" s="7" t="s">
        <v>59</v>
      </c>
      <c r="B8" s="8" t="s">
        <v>60</v>
      </c>
      <c r="C8" s="14" t="s">
        <v>6</v>
      </c>
      <c r="D8" s="8"/>
      <c r="E8" s="10" t="s">
        <v>61</v>
      </c>
      <c r="F8" s="10" t="s">
        <v>62</v>
      </c>
      <c r="G8" s="10" t="s">
        <v>63</v>
      </c>
      <c r="H8" s="10" t="s">
        <v>64</v>
      </c>
      <c r="I8" s="11" t="s">
        <v>10</v>
      </c>
      <c r="J8" s="8"/>
      <c r="K8" s="12"/>
      <c r="L8" s="8" t="s">
        <v>47</v>
      </c>
      <c r="M8" s="8" t="s">
        <v>48</v>
      </c>
      <c r="N8" s="12"/>
      <c r="O8" s="10"/>
    </row>
    <row r="9" spans="1:15" ht="36" x14ac:dyDescent="0.25">
      <c r="A9" s="7" t="s">
        <v>65</v>
      </c>
      <c r="B9" s="8" t="s">
        <v>66</v>
      </c>
      <c r="C9" s="13" t="s">
        <v>7</v>
      </c>
      <c r="D9" s="8"/>
      <c r="E9" s="10" t="s">
        <v>67</v>
      </c>
      <c r="F9" s="10" t="s">
        <v>68</v>
      </c>
      <c r="G9" s="10" t="s">
        <v>69</v>
      </c>
      <c r="H9" s="10" t="s">
        <v>70</v>
      </c>
      <c r="I9" s="11" t="s">
        <v>10</v>
      </c>
      <c r="J9" s="8"/>
      <c r="K9" s="12"/>
      <c r="L9" s="8" t="s">
        <v>47</v>
      </c>
      <c r="M9" s="8" t="s">
        <v>48</v>
      </c>
      <c r="N9" s="12"/>
      <c r="O9" s="10"/>
    </row>
    <row r="10" spans="1:15" ht="36" x14ac:dyDescent="0.25">
      <c r="A10" s="7" t="s">
        <v>71</v>
      </c>
      <c r="B10" s="8" t="s">
        <v>72</v>
      </c>
      <c r="C10" s="13" t="s">
        <v>7</v>
      </c>
      <c r="D10" s="8"/>
      <c r="E10" s="10" t="s">
        <v>73</v>
      </c>
      <c r="F10" s="10" t="s">
        <v>74</v>
      </c>
      <c r="G10" s="10" t="s">
        <v>75</v>
      </c>
      <c r="H10" s="10" t="s">
        <v>76</v>
      </c>
      <c r="I10" s="11" t="s">
        <v>10</v>
      </c>
      <c r="J10" s="8"/>
      <c r="K10" s="12"/>
      <c r="L10" s="8" t="s">
        <v>47</v>
      </c>
      <c r="M10" s="8" t="s">
        <v>48</v>
      </c>
      <c r="N10" s="12"/>
      <c r="O10" s="10"/>
    </row>
    <row r="11" spans="1:15" ht="24" x14ac:dyDescent="0.25">
      <c r="A11" s="7" t="s">
        <v>77</v>
      </c>
      <c r="B11" s="8" t="s">
        <v>72</v>
      </c>
      <c r="C11" s="13" t="s">
        <v>7</v>
      </c>
      <c r="D11" s="8"/>
      <c r="E11" s="10" t="s">
        <v>78</v>
      </c>
      <c r="F11" s="10" t="s">
        <v>79</v>
      </c>
      <c r="G11" s="10" t="s">
        <v>80</v>
      </c>
      <c r="H11" s="10" t="s">
        <v>81</v>
      </c>
      <c r="I11" s="11" t="s">
        <v>10</v>
      </c>
      <c r="J11" s="8"/>
      <c r="K11" s="12"/>
      <c r="L11" s="8" t="s">
        <v>47</v>
      </c>
      <c r="M11" s="8" t="s">
        <v>48</v>
      </c>
      <c r="N11" s="12"/>
      <c r="O11" s="10"/>
    </row>
    <row r="12" spans="1:15" ht="24" x14ac:dyDescent="0.25">
      <c r="A12" s="7" t="s">
        <v>82</v>
      </c>
      <c r="B12" s="8" t="s">
        <v>60</v>
      </c>
      <c r="C12" s="9" t="s">
        <v>8</v>
      </c>
      <c r="D12" s="8"/>
      <c r="E12" s="10" t="s">
        <v>83</v>
      </c>
      <c r="F12" s="10" t="s">
        <v>84</v>
      </c>
      <c r="G12" s="10" t="s">
        <v>85</v>
      </c>
      <c r="H12" s="10" t="s">
        <v>86</v>
      </c>
      <c r="I12" s="11" t="s">
        <v>10</v>
      </c>
      <c r="J12" s="8"/>
      <c r="K12" s="12"/>
      <c r="L12" s="8" t="s">
        <v>47</v>
      </c>
      <c r="M12" s="8" t="s">
        <v>48</v>
      </c>
      <c r="N12" s="12"/>
      <c r="O12" s="10"/>
    </row>
    <row r="13" spans="1:15" ht="24" x14ac:dyDescent="0.25">
      <c r="A13" s="7" t="s">
        <v>87</v>
      </c>
      <c r="B13" s="8" t="s">
        <v>41</v>
      </c>
      <c r="C13" s="9" t="s">
        <v>8</v>
      </c>
      <c r="D13" s="8" t="s">
        <v>42</v>
      </c>
      <c r="E13" s="10" t="s">
        <v>88</v>
      </c>
      <c r="F13" s="10" t="s">
        <v>89</v>
      </c>
      <c r="G13" s="10" t="s">
        <v>90</v>
      </c>
      <c r="H13" s="10" t="s">
        <v>91</v>
      </c>
      <c r="I13" s="11" t="s">
        <v>10</v>
      </c>
      <c r="J13" s="8"/>
      <c r="K13" s="12"/>
      <c r="L13" s="8" t="s">
        <v>47</v>
      </c>
      <c r="M13" s="8" t="s">
        <v>48</v>
      </c>
      <c r="N13" s="12"/>
      <c r="O13" s="10"/>
    </row>
    <row r="14" spans="1:15" x14ac:dyDescent="0.25">
      <c r="A14" s="7" t="s">
        <v>92</v>
      </c>
      <c r="B14" s="8" t="s">
        <v>72</v>
      </c>
      <c r="C14" s="14" t="s">
        <v>6</v>
      </c>
      <c r="D14" s="8"/>
      <c r="E14" s="10" t="s">
        <v>93</v>
      </c>
      <c r="F14" s="10" t="s">
        <v>94</v>
      </c>
      <c r="G14" s="10" t="s">
        <v>95</v>
      </c>
      <c r="H14" s="10" t="s">
        <v>96</v>
      </c>
      <c r="I14" s="11" t="s">
        <v>10</v>
      </c>
      <c r="J14" s="8"/>
      <c r="K14" s="12"/>
      <c r="L14" s="8" t="s">
        <v>47</v>
      </c>
      <c r="M14" s="8" t="s">
        <v>48</v>
      </c>
      <c r="N14" s="12"/>
      <c r="O14" s="10"/>
    </row>
    <row r="15" spans="1:15" ht="24" x14ac:dyDescent="0.25">
      <c r="A15" s="7" t="s">
        <v>97</v>
      </c>
      <c r="B15" s="8" t="s">
        <v>41</v>
      </c>
      <c r="C15" s="13" t="s">
        <v>7</v>
      </c>
      <c r="D15" s="8"/>
      <c r="E15" s="10" t="s">
        <v>98</v>
      </c>
      <c r="F15" s="10" t="s">
        <v>99</v>
      </c>
      <c r="G15" s="10" t="s">
        <v>100</v>
      </c>
      <c r="H15" s="10" t="s">
        <v>101</v>
      </c>
      <c r="I15" s="11" t="s">
        <v>10</v>
      </c>
      <c r="J15" s="8"/>
      <c r="K15" s="12"/>
      <c r="L15" s="8" t="s">
        <v>47</v>
      </c>
      <c r="M15" s="8" t="s">
        <v>48</v>
      </c>
      <c r="N15" s="12"/>
      <c r="O15" s="10"/>
    </row>
    <row r="16" spans="1:15" ht="24" x14ac:dyDescent="0.25">
      <c r="A16" s="7" t="s">
        <v>102</v>
      </c>
      <c r="B16" s="8" t="s">
        <v>103</v>
      </c>
      <c r="C16" s="13" t="s">
        <v>7</v>
      </c>
      <c r="D16" s="8" t="s">
        <v>104</v>
      </c>
      <c r="E16" s="10" t="s">
        <v>105</v>
      </c>
      <c r="F16" s="10" t="s">
        <v>106</v>
      </c>
      <c r="G16" s="10" t="s">
        <v>107</v>
      </c>
      <c r="H16" s="10" t="s">
        <v>108</v>
      </c>
      <c r="I16" s="11" t="s">
        <v>10</v>
      </c>
      <c r="J16" s="8"/>
      <c r="K16" s="12"/>
      <c r="L16" s="8" t="s">
        <v>47</v>
      </c>
      <c r="M16" s="8" t="s">
        <v>48</v>
      </c>
      <c r="N16" s="12"/>
      <c r="O16" s="10"/>
    </row>
    <row r="17" spans="1:15" ht="24" x14ac:dyDescent="0.25">
      <c r="A17" s="7" t="s">
        <v>109</v>
      </c>
      <c r="B17" s="8" t="s">
        <v>110</v>
      </c>
      <c r="C17" s="13" t="s">
        <v>7</v>
      </c>
      <c r="D17" s="8" t="s">
        <v>111</v>
      </c>
      <c r="E17" s="10" t="s">
        <v>112</v>
      </c>
      <c r="F17" s="10" t="s">
        <v>113</v>
      </c>
      <c r="G17" s="10" t="s">
        <v>114</v>
      </c>
      <c r="H17" s="10" t="s">
        <v>115</v>
      </c>
      <c r="I17" s="11" t="s">
        <v>10</v>
      </c>
      <c r="J17" s="8"/>
      <c r="K17" s="12"/>
      <c r="L17" s="8" t="s">
        <v>47</v>
      </c>
      <c r="M17" s="8" t="s">
        <v>48</v>
      </c>
      <c r="N17" s="12"/>
      <c r="O17" s="10"/>
    </row>
    <row r="18" spans="1:15" ht="24" x14ac:dyDescent="0.25">
      <c r="A18" s="7" t="s">
        <v>116</v>
      </c>
      <c r="B18" s="8" t="s">
        <v>66</v>
      </c>
      <c r="C18" s="14" t="s">
        <v>6</v>
      </c>
      <c r="D18" s="8" t="s">
        <v>104</v>
      </c>
      <c r="E18" s="10" t="s">
        <v>117</v>
      </c>
      <c r="F18" s="10" t="s">
        <v>118</v>
      </c>
      <c r="G18" s="10" t="s">
        <v>119</v>
      </c>
      <c r="H18" s="10" t="s">
        <v>120</v>
      </c>
      <c r="I18" s="11" t="s">
        <v>10</v>
      </c>
      <c r="J18" s="8"/>
      <c r="K18" s="12"/>
      <c r="L18" s="8" t="s">
        <v>47</v>
      </c>
      <c r="M18" s="8" t="s">
        <v>48</v>
      </c>
      <c r="N18" s="12"/>
      <c r="O18" s="10"/>
    </row>
    <row r="19" spans="1:15" ht="24" x14ac:dyDescent="0.25">
      <c r="A19" s="7" t="s">
        <v>121</v>
      </c>
      <c r="B19" s="8" t="s">
        <v>72</v>
      </c>
      <c r="C19" s="13" t="s">
        <v>7</v>
      </c>
      <c r="D19" s="8" t="s">
        <v>104</v>
      </c>
      <c r="E19" s="10" t="s">
        <v>122</v>
      </c>
      <c r="F19" s="10" t="s">
        <v>118</v>
      </c>
      <c r="G19" s="10" t="s">
        <v>123</v>
      </c>
      <c r="H19" s="10" t="s">
        <v>124</v>
      </c>
      <c r="I19" s="11" t="s">
        <v>10</v>
      </c>
      <c r="J19" s="8"/>
      <c r="K19" s="12"/>
      <c r="L19" s="8" t="s">
        <v>47</v>
      </c>
      <c r="M19" s="8" t="s">
        <v>48</v>
      </c>
      <c r="N19" s="12"/>
      <c r="O19" s="10"/>
    </row>
  </sheetData>
  <autoFilter ref="A4:O19" xr:uid="{00000000-0009-0000-0000-000001000000}"/>
  <mergeCells count="2">
    <mergeCell ref="A1:O1"/>
    <mergeCell ref="A2:O2"/>
  </mergeCells>
  <conditionalFormatting sqref="M5:M219">
    <cfRule type="cellIs" dxfId="41" priority="1" operator="equal">
      <formula>"Fail"</formula>
    </cfRule>
    <cfRule type="cellIs" dxfId="40" priority="2" operator="equal">
      <formula>"Pass"</formula>
    </cfRule>
    <cfRule type="cellIs" dxfId="39" priority="3" operator="equal">
      <formula>"Blocked"</formula>
    </cfRule>
  </conditionalFormatting>
  <dataValidations count="2">
    <dataValidation type="list" allowBlank="1" sqref="M5:M219" xr:uid="{00000000-0002-0000-0100-000000000000}">
      <formula1>"Not run,Pass,Fail,Blocked,N/A,Deprecated"</formula1>
    </dataValidation>
    <dataValidation type="list" allowBlank="1" sqref="J5:J219" xr:uid="{00000000-0002-0000-0100-000001000000}">
      <formula1>"Manual,Automated,To automate"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11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125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ht="24" x14ac:dyDescent="0.25">
      <c r="A5" s="7" t="s">
        <v>126</v>
      </c>
      <c r="B5" s="8" t="s">
        <v>66</v>
      </c>
      <c r="C5" s="14" t="s">
        <v>6</v>
      </c>
      <c r="D5" s="8"/>
      <c r="E5" s="10" t="s">
        <v>127</v>
      </c>
      <c r="F5" s="10" t="s">
        <v>128</v>
      </c>
      <c r="G5" s="10" t="s">
        <v>129</v>
      </c>
      <c r="H5" s="10" t="s">
        <v>130</v>
      </c>
      <c r="I5" s="11" t="s">
        <v>10</v>
      </c>
      <c r="J5" s="8"/>
      <c r="K5" s="12"/>
      <c r="L5" s="8" t="s">
        <v>47</v>
      </c>
      <c r="M5" s="8" t="s">
        <v>48</v>
      </c>
      <c r="N5" s="12"/>
      <c r="O5" s="10"/>
    </row>
    <row r="6" spans="1:15" ht="24" x14ac:dyDescent="0.25">
      <c r="A6" s="7" t="s">
        <v>131</v>
      </c>
      <c r="B6" s="8" t="s">
        <v>72</v>
      </c>
      <c r="C6" s="13" t="s">
        <v>7</v>
      </c>
      <c r="D6" s="8"/>
      <c r="E6" s="10" t="s">
        <v>132</v>
      </c>
      <c r="F6" s="10" t="s">
        <v>133</v>
      </c>
      <c r="G6" s="10" t="s">
        <v>134</v>
      </c>
      <c r="H6" s="10" t="s">
        <v>135</v>
      </c>
      <c r="I6" s="11" t="s">
        <v>10</v>
      </c>
      <c r="J6" s="8"/>
      <c r="K6" s="12"/>
      <c r="L6" s="8" t="s">
        <v>47</v>
      </c>
      <c r="M6" s="8" t="s">
        <v>48</v>
      </c>
      <c r="N6" s="12"/>
      <c r="O6" s="10"/>
    </row>
    <row r="7" spans="1:15" ht="24" x14ac:dyDescent="0.25">
      <c r="A7" s="7" t="s">
        <v>136</v>
      </c>
      <c r="B7" s="8" t="s">
        <v>60</v>
      </c>
      <c r="C7" s="13" t="s">
        <v>7</v>
      </c>
      <c r="D7" s="8"/>
      <c r="E7" s="10" t="s">
        <v>137</v>
      </c>
      <c r="F7" s="10" t="s">
        <v>138</v>
      </c>
      <c r="G7" s="10" t="s">
        <v>139</v>
      </c>
      <c r="H7" s="10" t="s">
        <v>140</v>
      </c>
      <c r="I7" s="11" t="s">
        <v>10</v>
      </c>
      <c r="J7" s="8"/>
      <c r="K7" s="12"/>
      <c r="L7" s="8" t="s">
        <v>47</v>
      </c>
      <c r="M7" s="8" t="s">
        <v>48</v>
      </c>
      <c r="N7" s="12"/>
      <c r="O7" s="10"/>
    </row>
    <row r="8" spans="1:15" ht="24" x14ac:dyDescent="0.25">
      <c r="A8" s="7" t="s">
        <v>141</v>
      </c>
      <c r="B8" s="8" t="s">
        <v>142</v>
      </c>
      <c r="C8" s="9" t="s">
        <v>8</v>
      </c>
      <c r="D8" s="8" t="s">
        <v>143</v>
      </c>
      <c r="E8" s="10" t="s">
        <v>144</v>
      </c>
      <c r="F8" s="10" t="s">
        <v>145</v>
      </c>
      <c r="G8" s="10" t="s">
        <v>146</v>
      </c>
      <c r="H8" s="10" t="s">
        <v>147</v>
      </c>
      <c r="I8" s="11" t="s">
        <v>10</v>
      </c>
      <c r="J8" s="8"/>
      <c r="K8" s="12"/>
      <c r="L8" s="8" t="s">
        <v>47</v>
      </c>
      <c r="M8" s="8" t="s">
        <v>48</v>
      </c>
      <c r="N8" s="12"/>
      <c r="O8" s="10"/>
    </row>
    <row r="9" spans="1:15" ht="24" x14ac:dyDescent="0.25">
      <c r="A9" s="7" t="s">
        <v>148</v>
      </c>
      <c r="B9" s="8" t="s">
        <v>66</v>
      </c>
      <c r="C9" s="14" t="s">
        <v>6</v>
      </c>
      <c r="D9" s="8"/>
      <c r="E9" s="10" t="s">
        <v>149</v>
      </c>
      <c r="F9" s="10" t="s">
        <v>150</v>
      </c>
      <c r="G9" s="10" t="s">
        <v>151</v>
      </c>
      <c r="H9" s="10" t="s">
        <v>152</v>
      </c>
      <c r="I9" s="11" t="s">
        <v>10</v>
      </c>
      <c r="J9" s="8"/>
      <c r="K9" s="12"/>
      <c r="L9" s="8" t="s">
        <v>47</v>
      </c>
      <c r="M9" s="8" t="s">
        <v>48</v>
      </c>
      <c r="N9" s="12"/>
      <c r="O9" s="10"/>
    </row>
    <row r="10" spans="1:15" x14ac:dyDescent="0.25">
      <c r="A10" s="7" t="s">
        <v>153</v>
      </c>
      <c r="B10" s="8" t="s">
        <v>60</v>
      </c>
      <c r="C10" s="13" t="s">
        <v>7</v>
      </c>
      <c r="D10" s="8"/>
      <c r="E10" s="10" t="s">
        <v>154</v>
      </c>
      <c r="F10" s="10" t="s">
        <v>155</v>
      </c>
      <c r="G10" s="10" t="s">
        <v>156</v>
      </c>
      <c r="H10" s="10" t="s">
        <v>157</v>
      </c>
      <c r="I10" s="11" t="s">
        <v>10</v>
      </c>
      <c r="J10" s="8"/>
      <c r="K10" s="12"/>
      <c r="L10" s="8" t="s">
        <v>47</v>
      </c>
      <c r="M10" s="8" t="s">
        <v>48</v>
      </c>
      <c r="N10" s="12"/>
      <c r="O10" s="10"/>
    </row>
    <row r="11" spans="1:15" x14ac:dyDescent="0.25">
      <c r="A11" s="7" t="s">
        <v>158</v>
      </c>
      <c r="B11" s="8" t="s">
        <v>72</v>
      </c>
      <c r="C11" s="13" t="s">
        <v>7</v>
      </c>
      <c r="D11" s="8"/>
      <c r="E11" s="10" t="s">
        <v>159</v>
      </c>
      <c r="F11" s="10" t="s">
        <v>160</v>
      </c>
      <c r="G11" s="10" t="s">
        <v>161</v>
      </c>
      <c r="H11" s="10" t="s">
        <v>162</v>
      </c>
      <c r="I11" s="11" t="s">
        <v>10</v>
      </c>
      <c r="J11" s="8"/>
      <c r="K11" s="12"/>
      <c r="L11" s="8" t="s">
        <v>47</v>
      </c>
      <c r="M11" s="8" t="s">
        <v>48</v>
      </c>
      <c r="N11" s="12"/>
      <c r="O11" s="10"/>
    </row>
    <row r="12" spans="1:15" x14ac:dyDescent="0.25">
      <c r="A12" s="7" t="s">
        <v>163</v>
      </c>
      <c r="B12" s="8" t="s">
        <v>72</v>
      </c>
      <c r="C12" s="13" t="s">
        <v>7</v>
      </c>
      <c r="D12" s="8"/>
      <c r="E12" s="10" t="s">
        <v>164</v>
      </c>
      <c r="F12" s="10" t="s">
        <v>165</v>
      </c>
      <c r="G12" s="10" t="s">
        <v>161</v>
      </c>
      <c r="H12" s="10" t="s">
        <v>166</v>
      </c>
      <c r="I12" s="11" t="s">
        <v>10</v>
      </c>
      <c r="J12" s="8"/>
      <c r="K12" s="12"/>
      <c r="L12" s="8" t="s">
        <v>47</v>
      </c>
      <c r="M12" s="8" t="s">
        <v>48</v>
      </c>
      <c r="N12" s="12"/>
      <c r="O12" s="10"/>
    </row>
    <row r="13" spans="1:15" ht="24" x14ac:dyDescent="0.25">
      <c r="A13" s="7" t="s">
        <v>167</v>
      </c>
      <c r="B13" s="8" t="s">
        <v>41</v>
      </c>
      <c r="C13" s="9" t="s">
        <v>8</v>
      </c>
      <c r="D13" s="8" t="s">
        <v>42</v>
      </c>
      <c r="E13" s="10" t="s">
        <v>168</v>
      </c>
      <c r="F13" s="10" t="s">
        <v>169</v>
      </c>
      <c r="G13" s="10" t="s">
        <v>170</v>
      </c>
      <c r="H13" s="10" t="s">
        <v>171</v>
      </c>
      <c r="I13" s="11" t="s">
        <v>10</v>
      </c>
      <c r="J13" s="8"/>
      <c r="K13" s="12"/>
      <c r="L13" s="8" t="s">
        <v>47</v>
      </c>
      <c r="M13" s="8" t="s">
        <v>48</v>
      </c>
      <c r="N13" s="12"/>
      <c r="O13" s="10"/>
    </row>
    <row r="14" spans="1:15" x14ac:dyDescent="0.25">
      <c r="A14" s="7" t="s">
        <v>172</v>
      </c>
      <c r="B14" s="8" t="s">
        <v>110</v>
      </c>
      <c r="C14" s="13" t="s">
        <v>7</v>
      </c>
      <c r="D14" s="8" t="s">
        <v>111</v>
      </c>
      <c r="E14" s="10" t="s">
        <v>173</v>
      </c>
      <c r="F14" s="10" t="s">
        <v>113</v>
      </c>
      <c r="G14" s="10" t="s">
        <v>174</v>
      </c>
      <c r="H14" s="10" t="s">
        <v>175</v>
      </c>
      <c r="I14" s="11" t="s">
        <v>10</v>
      </c>
      <c r="J14" s="8"/>
      <c r="K14" s="12"/>
      <c r="L14" s="8" t="s">
        <v>47</v>
      </c>
      <c r="M14" s="8" t="s">
        <v>48</v>
      </c>
      <c r="N14" s="12"/>
      <c r="O14" s="10"/>
    </row>
    <row r="15" spans="1:15" ht="24" x14ac:dyDescent="0.25">
      <c r="A15" s="7" t="s">
        <v>176</v>
      </c>
      <c r="B15" s="8" t="s">
        <v>66</v>
      </c>
      <c r="C15" s="13" t="s">
        <v>7</v>
      </c>
      <c r="D15" s="8" t="s">
        <v>177</v>
      </c>
      <c r="E15" s="10" t="s">
        <v>178</v>
      </c>
      <c r="F15" s="10" t="s">
        <v>179</v>
      </c>
      <c r="G15" s="10" t="s">
        <v>180</v>
      </c>
      <c r="H15" s="10" t="s">
        <v>181</v>
      </c>
      <c r="I15" s="11" t="s">
        <v>10</v>
      </c>
      <c r="J15" s="8"/>
      <c r="K15" s="12"/>
      <c r="L15" s="8" t="s">
        <v>47</v>
      </c>
      <c r="M15" s="8" t="s">
        <v>48</v>
      </c>
      <c r="N15" s="12"/>
      <c r="O15" s="10"/>
    </row>
  </sheetData>
  <autoFilter ref="A4:O15" xr:uid="{00000000-0009-0000-0000-000002000000}"/>
  <mergeCells count="2">
    <mergeCell ref="A1:O1"/>
    <mergeCell ref="A2:O2"/>
  </mergeCells>
  <conditionalFormatting sqref="M5:M215">
    <cfRule type="cellIs" dxfId="38" priority="1" operator="equal">
      <formula>"Fail"</formula>
    </cfRule>
    <cfRule type="cellIs" dxfId="37" priority="2" operator="equal">
      <formula>"Pass"</formula>
    </cfRule>
    <cfRule type="cellIs" dxfId="36" priority="3" operator="equal">
      <formula>"Blocked"</formula>
    </cfRule>
  </conditionalFormatting>
  <dataValidations count="2">
    <dataValidation type="list" allowBlank="1" sqref="M5:M215" xr:uid="{00000000-0002-0000-0200-000000000000}">
      <formula1>"Not run,Pass,Fail,Blocked,N/A,Deprecated"</formula1>
    </dataValidation>
    <dataValidation type="list" allowBlank="1" sqref="J5:J215" xr:uid="{00000000-0002-0000-0200-000001000000}">
      <formula1>"Manual,Automated,To automate"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"/>
  <sheetViews>
    <sheetView workbookViewId="0">
      <pane xSplit="4" ySplit="4" topLeftCell="E5" activePane="bottomRight" state="frozen"/>
      <selection pane="topRight"/>
      <selection pane="bottomLeft"/>
      <selection pane="bottomRight" activeCell="F15" sqref="F15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12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182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x14ac:dyDescent="0.25">
      <c r="A5" s="7" t="s">
        <v>183</v>
      </c>
      <c r="B5" s="8" t="s">
        <v>66</v>
      </c>
      <c r="C5" s="14" t="s">
        <v>6</v>
      </c>
      <c r="D5" s="8"/>
      <c r="E5" s="10" t="s">
        <v>184</v>
      </c>
      <c r="F5" s="10" t="s">
        <v>185</v>
      </c>
      <c r="G5" s="10" t="s">
        <v>186</v>
      </c>
      <c r="H5" s="10" t="s">
        <v>187</v>
      </c>
      <c r="I5" s="11" t="s">
        <v>10</v>
      </c>
      <c r="J5" s="8"/>
      <c r="K5" s="12"/>
      <c r="L5" s="8" t="s">
        <v>47</v>
      </c>
      <c r="M5" s="8" t="s">
        <v>48</v>
      </c>
      <c r="N5" s="12"/>
      <c r="O5" s="10"/>
    </row>
    <row r="6" spans="1:15" ht="36" x14ac:dyDescent="0.25">
      <c r="A6" s="7" t="s">
        <v>188</v>
      </c>
      <c r="B6" s="8" t="s">
        <v>72</v>
      </c>
      <c r="C6" s="13" t="s">
        <v>7</v>
      </c>
      <c r="D6" s="8" t="s">
        <v>189</v>
      </c>
      <c r="E6" s="10" t="s">
        <v>190</v>
      </c>
      <c r="F6" s="10" t="s">
        <v>191</v>
      </c>
      <c r="G6" s="10" t="s">
        <v>192</v>
      </c>
      <c r="H6" s="10" t="s">
        <v>193</v>
      </c>
      <c r="I6" s="11" t="s">
        <v>10</v>
      </c>
      <c r="J6" s="8"/>
      <c r="K6" s="12"/>
      <c r="L6" s="8" t="s">
        <v>47</v>
      </c>
      <c r="M6" s="8" t="s">
        <v>48</v>
      </c>
      <c r="N6" s="12"/>
      <c r="O6" s="10"/>
    </row>
    <row r="7" spans="1:15" ht="24" x14ac:dyDescent="0.25">
      <c r="A7" s="7" t="s">
        <v>194</v>
      </c>
      <c r="B7" s="8" t="s">
        <v>72</v>
      </c>
      <c r="C7" s="13" t="s">
        <v>7</v>
      </c>
      <c r="D7" s="8"/>
      <c r="E7" s="10" t="s">
        <v>195</v>
      </c>
      <c r="F7" s="10" t="s">
        <v>196</v>
      </c>
      <c r="G7" s="10" t="s">
        <v>197</v>
      </c>
      <c r="H7" s="10" t="s">
        <v>198</v>
      </c>
      <c r="I7" s="11" t="s">
        <v>10</v>
      </c>
      <c r="J7" s="8"/>
      <c r="K7" s="12"/>
      <c r="L7" s="8" t="s">
        <v>47</v>
      </c>
      <c r="M7" s="8" t="s">
        <v>48</v>
      </c>
      <c r="N7" s="12"/>
      <c r="O7" s="10"/>
    </row>
    <row r="8" spans="1:15" ht="36" x14ac:dyDescent="0.25">
      <c r="A8" s="7" t="s">
        <v>199</v>
      </c>
      <c r="B8" s="8" t="s">
        <v>110</v>
      </c>
      <c r="C8" s="13" t="s">
        <v>7</v>
      </c>
      <c r="D8" s="8" t="s">
        <v>111</v>
      </c>
      <c r="E8" s="10" t="s">
        <v>200</v>
      </c>
      <c r="F8" s="10" t="s">
        <v>201</v>
      </c>
      <c r="G8" s="10" t="s">
        <v>202</v>
      </c>
      <c r="H8" s="10" t="s">
        <v>203</v>
      </c>
      <c r="I8" s="11" t="s">
        <v>10</v>
      </c>
      <c r="J8" s="8"/>
      <c r="K8" s="12"/>
      <c r="L8" s="8" t="s">
        <v>47</v>
      </c>
      <c r="M8" s="8" t="s">
        <v>48</v>
      </c>
      <c r="N8" s="12"/>
      <c r="O8" s="10"/>
    </row>
    <row r="9" spans="1:15" ht="24" x14ac:dyDescent="0.25">
      <c r="A9" s="7" t="s">
        <v>204</v>
      </c>
      <c r="B9" s="8" t="s">
        <v>72</v>
      </c>
      <c r="C9" s="14" t="s">
        <v>6</v>
      </c>
      <c r="D9" s="8" t="s">
        <v>189</v>
      </c>
      <c r="E9" s="10" t="s">
        <v>205</v>
      </c>
      <c r="F9" s="10" t="s">
        <v>206</v>
      </c>
      <c r="G9" s="10" t="s">
        <v>207</v>
      </c>
      <c r="H9" s="10" t="s">
        <v>208</v>
      </c>
      <c r="I9" s="11" t="s">
        <v>10</v>
      </c>
      <c r="J9" s="8"/>
      <c r="K9" s="12"/>
      <c r="L9" s="8" t="s">
        <v>47</v>
      </c>
      <c r="M9" s="8" t="s">
        <v>48</v>
      </c>
      <c r="N9" s="12"/>
      <c r="O9" s="10"/>
    </row>
    <row r="10" spans="1:15" ht="24" x14ac:dyDescent="0.25">
      <c r="A10" s="7" t="s">
        <v>209</v>
      </c>
      <c r="B10" s="8" t="s">
        <v>66</v>
      </c>
      <c r="C10" s="13" t="s">
        <v>7</v>
      </c>
      <c r="D10" s="8" t="s">
        <v>177</v>
      </c>
      <c r="E10" s="10" t="s">
        <v>210</v>
      </c>
      <c r="F10" s="10" t="s">
        <v>211</v>
      </c>
      <c r="G10" s="10" t="s">
        <v>212</v>
      </c>
      <c r="H10" s="10" t="s">
        <v>213</v>
      </c>
      <c r="I10" s="11" t="s">
        <v>10</v>
      </c>
      <c r="J10" s="8"/>
      <c r="K10" s="12"/>
      <c r="L10" s="8" t="s">
        <v>47</v>
      </c>
      <c r="M10" s="8" t="s">
        <v>48</v>
      </c>
      <c r="N10" s="12"/>
      <c r="O10" s="10"/>
    </row>
    <row r="11" spans="1:15" ht="24" x14ac:dyDescent="0.25">
      <c r="A11" s="7" t="s">
        <v>214</v>
      </c>
      <c r="B11" s="8" t="s">
        <v>66</v>
      </c>
      <c r="C11" s="14" t="s">
        <v>6</v>
      </c>
      <c r="D11" s="8" t="s">
        <v>177</v>
      </c>
      <c r="E11" s="10" t="s">
        <v>215</v>
      </c>
      <c r="F11" s="10" t="s">
        <v>216</v>
      </c>
      <c r="G11" s="10" t="s">
        <v>161</v>
      </c>
      <c r="H11" s="10" t="s">
        <v>217</v>
      </c>
      <c r="I11" s="11" t="s">
        <v>10</v>
      </c>
      <c r="J11" s="8"/>
      <c r="K11" s="12"/>
      <c r="L11" s="8" t="s">
        <v>47</v>
      </c>
      <c r="M11" s="8" t="s">
        <v>48</v>
      </c>
      <c r="N11" s="12"/>
      <c r="O11" s="10"/>
    </row>
    <row r="12" spans="1:15" x14ac:dyDescent="0.25">
      <c r="A12" s="7" t="s">
        <v>218</v>
      </c>
      <c r="B12" s="8" t="s">
        <v>72</v>
      </c>
      <c r="C12" s="9" t="s">
        <v>8</v>
      </c>
      <c r="D12" s="8"/>
      <c r="E12" s="10" t="s">
        <v>219</v>
      </c>
      <c r="F12" s="10" t="s">
        <v>220</v>
      </c>
      <c r="G12" s="10" t="s">
        <v>221</v>
      </c>
      <c r="H12" s="10" t="s">
        <v>222</v>
      </c>
      <c r="I12" s="11" t="s">
        <v>10</v>
      </c>
      <c r="J12" s="8"/>
      <c r="K12" s="12"/>
      <c r="L12" s="8" t="s">
        <v>47</v>
      </c>
      <c r="M12" s="8" t="s">
        <v>48</v>
      </c>
      <c r="N12" s="12"/>
      <c r="O12" s="10"/>
    </row>
    <row r="13" spans="1:15" x14ac:dyDescent="0.25">
      <c r="A13" s="7" t="s">
        <v>223</v>
      </c>
      <c r="B13" s="8" t="s">
        <v>60</v>
      </c>
      <c r="C13" s="9" t="s">
        <v>8</v>
      </c>
      <c r="D13" s="8"/>
      <c r="E13" s="10" t="s">
        <v>224</v>
      </c>
      <c r="F13" s="10" t="s">
        <v>225</v>
      </c>
      <c r="G13" s="10" t="s">
        <v>226</v>
      </c>
      <c r="H13" s="10" t="s">
        <v>227</v>
      </c>
      <c r="I13" s="11" t="s">
        <v>10</v>
      </c>
      <c r="J13" s="8"/>
      <c r="K13" s="12"/>
      <c r="L13" s="8" t="s">
        <v>47</v>
      </c>
      <c r="M13" s="8" t="s">
        <v>48</v>
      </c>
      <c r="N13" s="12"/>
      <c r="O13" s="10"/>
    </row>
    <row r="14" spans="1:15" ht="24" x14ac:dyDescent="0.25">
      <c r="A14" s="7" t="s">
        <v>228</v>
      </c>
      <c r="B14" s="8" t="s">
        <v>142</v>
      </c>
      <c r="C14" s="9" t="s">
        <v>8</v>
      </c>
      <c r="D14" s="8" t="s">
        <v>143</v>
      </c>
      <c r="E14" s="10" t="s">
        <v>229</v>
      </c>
      <c r="F14" s="10" t="s">
        <v>230</v>
      </c>
      <c r="G14" s="10" t="s">
        <v>231</v>
      </c>
      <c r="H14" s="10" t="s">
        <v>232</v>
      </c>
      <c r="I14" s="11" t="s">
        <v>10</v>
      </c>
      <c r="J14" s="8"/>
      <c r="K14" s="12"/>
      <c r="L14" s="8" t="s">
        <v>47</v>
      </c>
      <c r="M14" s="8" t="s">
        <v>48</v>
      </c>
      <c r="N14" s="12"/>
      <c r="O14" s="10"/>
    </row>
    <row r="15" spans="1:15" ht="36" x14ac:dyDescent="0.25">
      <c r="A15" s="7" t="s">
        <v>233</v>
      </c>
      <c r="B15" s="8" t="s">
        <v>72</v>
      </c>
      <c r="C15" s="13" t="s">
        <v>7</v>
      </c>
      <c r="D15" s="8" t="s">
        <v>189</v>
      </c>
      <c r="E15" s="10" t="s">
        <v>234</v>
      </c>
      <c r="F15" s="10" t="s">
        <v>235</v>
      </c>
      <c r="G15" s="10" t="s">
        <v>236</v>
      </c>
      <c r="H15" s="10" t="s">
        <v>237</v>
      </c>
      <c r="I15" s="11" t="s">
        <v>10</v>
      </c>
      <c r="J15" s="8"/>
      <c r="K15" s="12"/>
      <c r="L15" s="8" t="s">
        <v>47</v>
      </c>
      <c r="M15" s="8" t="s">
        <v>48</v>
      </c>
      <c r="N15" s="12"/>
      <c r="O15" s="10"/>
    </row>
    <row r="16" spans="1:15" ht="24" x14ac:dyDescent="0.25">
      <c r="A16" s="7" t="s">
        <v>238</v>
      </c>
      <c r="B16" s="8" t="s">
        <v>103</v>
      </c>
      <c r="C16" s="13" t="s">
        <v>7</v>
      </c>
      <c r="D16" s="8"/>
      <c r="E16" s="10" t="s">
        <v>239</v>
      </c>
      <c r="F16" s="10" t="s">
        <v>240</v>
      </c>
      <c r="G16" s="10" t="s">
        <v>241</v>
      </c>
      <c r="H16" s="10" t="s">
        <v>242</v>
      </c>
      <c r="I16" s="11" t="s">
        <v>10</v>
      </c>
      <c r="J16" s="8"/>
      <c r="K16" s="12"/>
      <c r="L16" s="8" t="s">
        <v>47</v>
      </c>
      <c r="M16" s="8" t="s">
        <v>48</v>
      </c>
      <c r="N16" s="12"/>
      <c r="O16" s="10"/>
    </row>
  </sheetData>
  <autoFilter ref="A4:O16" xr:uid="{00000000-0009-0000-0000-000003000000}"/>
  <mergeCells count="2">
    <mergeCell ref="A1:O1"/>
    <mergeCell ref="A2:O2"/>
  </mergeCells>
  <conditionalFormatting sqref="M5:M216">
    <cfRule type="cellIs" dxfId="35" priority="1" operator="equal">
      <formula>"Fail"</formula>
    </cfRule>
    <cfRule type="cellIs" dxfId="34" priority="2" operator="equal">
      <formula>"Pass"</formula>
    </cfRule>
    <cfRule type="cellIs" dxfId="33" priority="3" operator="equal">
      <formula>"Blocked"</formula>
    </cfRule>
  </conditionalFormatting>
  <dataValidations count="2">
    <dataValidation type="list" allowBlank="1" sqref="M5:M216" xr:uid="{00000000-0002-0000-0300-000000000000}">
      <formula1>"Not run,Pass,Fail,Blocked,N/A,Deprecated"</formula1>
    </dataValidation>
    <dataValidation type="list" allowBlank="1" sqref="J5:J216" xr:uid="{00000000-0002-0000-0300-000001000000}">
      <formula1>"Manual,Automated,To automate"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7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243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ht="24" x14ac:dyDescent="0.25">
      <c r="A5" s="7" t="s">
        <v>244</v>
      </c>
      <c r="B5" s="8" t="s">
        <v>60</v>
      </c>
      <c r="C5" s="9" t="s">
        <v>8</v>
      </c>
      <c r="D5" s="8" t="s">
        <v>245</v>
      </c>
      <c r="E5" s="10" t="s">
        <v>246</v>
      </c>
      <c r="F5" s="10" t="s">
        <v>247</v>
      </c>
      <c r="G5" s="10" t="s">
        <v>248</v>
      </c>
      <c r="H5" s="10" t="s">
        <v>249</v>
      </c>
      <c r="I5" s="11" t="s">
        <v>10</v>
      </c>
      <c r="J5" s="8"/>
      <c r="K5" s="12"/>
      <c r="L5" s="8" t="s">
        <v>47</v>
      </c>
      <c r="M5" s="8" t="s">
        <v>48</v>
      </c>
      <c r="N5" s="12"/>
      <c r="O5" s="10"/>
    </row>
    <row r="6" spans="1:15" ht="24" x14ac:dyDescent="0.25">
      <c r="A6" s="7" t="s">
        <v>250</v>
      </c>
      <c r="B6" s="8" t="s">
        <v>72</v>
      </c>
      <c r="C6" s="9" t="s">
        <v>8</v>
      </c>
      <c r="D6" s="8" t="s">
        <v>245</v>
      </c>
      <c r="E6" s="10" t="s">
        <v>251</v>
      </c>
      <c r="F6" s="10" t="s">
        <v>252</v>
      </c>
      <c r="G6" s="10" t="s">
        <v>253</v>
      </c>
      <c r="H6" s="10" t="s">
        <v>254</v>
      </c>
      <c r="I6" s="11" t="s">
        <v>10</v>
      </c>
      <c r="J6" s="8"/>
      <c r="K6" s="12"/>
      <c r="L6" s="8" t="s">
        <v>47</v>
      </c>
      <c r="M6" s="8" t="s">
        <v>48</v>
      </c>
      <c r="N6" s="12"/>
      <c r="O6" s="10"/>
    </row>
    <row r="7" spans="1:15" ht="24" x14ac:dyDescent="0.25">
      <c r="A7" s="7" t="s">
        <v>255</v>
      </c>
      <c r="B7" s="8" t="s">
        <v>72</v>
      </c>
      <c r="C7" s="9" t="s">
        <v>8</v>
      </c>
      <c r="D7" s="8" t="s">
        <v>245</v>
      </c>
      <c r="E7" s="10" t="s">
        <v>256</v>
      </c>
      <c r="F7" s="10" t="s">
        <v>257</v>
      </c>
      <c r="G7" s="10" t="s">
        <v>258</v>
      </c>
      <c r="H7" s="10" t="s">
        <v>259</v>
      </c>
      <c r="I7" s="11" t="s">
        <v>10</v>
      </c>
      <c r="J7" s="8"/>
      <c r="K7" s="12"/>
      <c r="L7" s="8" t="s">
        <v>47</v>
      </c>
      <c r="M7" s="8" t="s">
        <v>48</v>
      </c>
      <c r="N7" s="12"/>
      <c r="O7" s="10"/>
    </row>
    <row r="8" spans="1:15" x14ac:dyDescent="0.25">
      <c r="A8" s="7" t="s">
        <v>260</v>
      </c>
      <c r="B8" s="8" t="s">
        <v>72</v>
      </c>
      <c r="C8" s="14" t="s">
        <v>6</v>
      </c>
      <c r="D8" s="8" t="s">
        <v>245</v>
      </c>
      <c r="E8" s="10" t="s">
        <v>261</v>
      </c>
      <c r="F8" s="10" t="s">
        <v>262</v>
      </c>
      <c r="G8" s="10" t="s">
        <v>258</v>
      </c>
      <c r="H8" s="10" t="s">
        <v>263</v>
      </c>
      <c r="I8" s="11" t="s">
        <v>10</v>
      </c>
      <c r="J8" s="8"/>
      <c r="K8" s="12"/>
      <c r="L8" s="8" t="s">
        <v>47</v>
      </c>
      <c r="M8" s="8" t="s">
        <v>48</v>
      </c>
      <c r="N8" s="12"/>
      <c r="O8" s="10"/>
    </row>
    <row r="9" spans="1:15" ht="24" x14ac:dyDescent="0.25">
      <c r="A9" s="7" t="s">
        <v>264</v>
      </c>
      <c r="B9" s="8" t="s">
        <v>72</v>
      </c>
      <c r="C9" s="13" t="s">
        <v>7</v>
      </c>
      <c r="D9" s="8" t="s">
        <v>245</v>
      </c>
      <c r="E9" s="10" t="s">
        <v>265</v>
      </c>
      <c r="F9" s="10" t="s">
        <v>266</v>
      </c>
      <c r="G9" s="10" t="s">
        <v>258</v>
      </c>
      <c r="H9" s="10" t="s">
        <v>267</v>
      </c>
      <c r="I9" s="11" t="s">
        <v>10</v>
      </c>
      <c r="J9" s="8"/>
      <c r="K9" s="12"/>
      <c r="L9" s="8" t="s">
        <v>47</v>
      </c>
      <c r="M9" s="8" t="s">
        <v>48</v>
      </c>
      <c r="N9" s="12"/>
      <c r="O9" s="10"/>
    </row>
    <row r="10" spans="1:15" x14ac:dyDescent="0.25">
      <c r="A10" s="7" t="s">
        <v>268</v>
      </c>
      <c r="B10" s="8" t="s">
        <v>72</v>
      </c>
      <c r="C10" s="13" t="s">
        <v>7</v>
      </c>
      <c r="D10" s="8" t="s">
        <v>245</v>
      </c>
      <c r="E10" s="10" t="s">
        <v>269</v>
      </c>
      <c r="F10" s="10" t="s">
        <v>270</v>
      </c>
      <c r="G10" s="10" t="s">
        <v>258</v>
      </c>
      <c r="H10" s="10" t="s">
        <v>271</v>
      </c>
      <c r="I10" s="11" t="s">
        <v>10</v>
      </c>
      <c r="J10" s="8"/>
      <c r="K10" s="12"/>
      <c r="L10" s="8" t="s">
        <v>47</v>
      </c>
      <c r="M10" s="8" t="s">
        <v>48</v>
      </c>
      <c r="N10" s="12"/>
      <c r="O10" s="10"/>
    </row>
    <row r="11" spans="1:15" ht="24" x14ac:dyDescent="0.25">
      <c r="A11" s="7" t="s">
        <v>272</v>
      </c>
      <c r="B11" s="8" t="s">
        <v>72</v>
      </c>
      <c r="C11" s="13" t="s">
        <v>7</v>
      </c>
      <c r="D11" s="8" t="s">
        <v>245</v>
      </c>
      <c r="E11" s="10" t="s">
        <v>273</v>
      </c>
      <c r="F11" s="10" t="s">
        <v>274</v>
      </c>
      <c r="G11" s="10" t="s">
        <v>258</v>
      </c>
      <c r="H11" s="10" t="s">
        <v>275</v>
      </c>
      <c r="I11" s="11" t="s">
        <v>10</v>
      </c>
      <c r="J11" s="8"/>
      <c r="K11" s="12"/>
      <c r="L11" s="8" t="s">
        <v>47</v>
      </c>
      <c r="M11" s="8" t="s">
        <v>48</v>
      </c>
      <c r="N11" s="12"/>
      <c r="O11" s="10"/>
    </row>
    <row r="12" spans="1:15" ht="24" x14ac:dyDescent="0.25">
      <c r="A12" s="7" t="s">
        <v>276</v>
      </c>
      <c r="B12" s="8" t="s">
        <v>72</v>
      </c>
      <c r="C12" s="13" t="s">
        <v>7</v>
      </c>
      <c r="D12" s="8" t="s">
        <v>245</v>
      </c>
      <c r="E12" s="10" t="s">
        <v>277</v>
      </c>
      <c r="F12" s="10" t="s">
        <v>278</v>
      </c>
      <c r="G12" s="10" t="s">
        <v>258</v>
      </c>
      <c r="H12" s="10" t="s">
        <v>279</v>
      </c>
      <c r="I12" s="11" t="s">
        <v>10</v>
      </c>
      <c r="J12" s="8"/>
      <c r="K12" s="12"/>
      <c r="L12" s="8" t="s">
        <v>47</v>
      </c>
      <c r="M12" s="8" t="s">
        <v>48</v>
      </c>
      <c r="N12" s="12"/>
      <c r="O12" s="10"/>
    </row>
    <row r="13" spans="1:15" ht="24" x14ac:dyDescent="0.25">
      <c r="A13" s="7" t="s">
        <v>280</v>
      </c>
      <c r="B13" s="8" t="s">
        <v>281</v>
      </c>
      <c r="C13" s="14" t="s">
        <v>6</v>
      </c>
      <c r="D13" s="8" t="s">
        <v>282</v>
      </c>
      <c r="E13" s="10" t="s">
        <v>283</v>
      </c>
      <c r="F13" s="10" t="s">
        <v>284</v>
      </c>
      <c r="G13" s="10" t="s">
        <v>285</v>
      </c>
      <c r="H13" s="10" t="s">
        <v>286</v>
      </c>
      <c r="I13" s="11" t="s">
        <v>10</v>
      </c>
      <c r="J13" s="8"/>
      <c r="K13" s="12"/>
      <c r="L13" s="8" t="s">
        <v>47</v>
      </c>
      <c r="M13" s="8" t="s">
        <v>48</v>
      </c>
      <c r="N13" s="12"/>
      <c r="O13" s="10"/>
    </row>
    <row r="14" spans="1:15" x14ac:dyDescent="0.25">
      <c r="A14" s="7" t="s">
        <v>287</v>
      </c>
      <c r="B14" s="8" t="s">
        <v>72</v>
      </c>
      <c r="C14" s="13" t="s">
        <v>7</v>
      </c>
      <c r="D14" s="8" t="s">
        <v>245</v>
      </c>
      <c r="E14" s="10" t="s">
        <v>288</v>
      </c>
      <c r="F14" s="10" t="s">
        <v>289</v>
      </c>
      <c r="G14" s="10" t="s">
        <v>290</v>
      </c>
      <c r="H14" s="10" t="s">
        <v>291</v>
      </c>
      <c r="I14" s="11" t="s">
        <v>10</v>
      </c>
      <c r="J14" s="8"/>
      <c r="K14" s="12"/>
      <c r="L14" s="8" t="s">
        <v>47</v>
      </c>
      <c r="M14" s="8" t="s">
        <v>48</v>
      </c>
      <c r="N14" s="12"/>
      <c r="O14" s="10"/>
    </row>
    <row r="15" spans="1:15" x14ac:dyDescent="0.25">
      <c r="A15" s="7" t="s">
        <v>292</v>
      </c>
      <c r="B15" s="8" t="s">
        <v>66</v>
      </c>
      <c r="C15" s="14" t="s">
        <v>6</v>
      </c>
      <c r="D15" s="8"/>
      <c r="E15" s="10" t="s">
        <v>293</v>
      </c>
      <c r="F15" s="10" t="s">
        <v>294</v>
      </c>
      <c r="G15" s="10" t="s">
        <v>295</v>
      </c>
      <c r="H15" s="10" t="s">
        <v>296</v>
      </c>
      <c r="I15" s="11" t="s">
        <v>10</v>
      </c>
      <c r="J15" s="8"/>
      <c r="K15" s="12"/>
      <c r="L15" s="8" t="s">
        <v>47</v>
      </c>
      <c r="M15" s="8" t="s">
        <v>48</v>
      </c>
      <c r="N15" s="12"/>
      <c r="O15" s="10"/>
    </row>
    <row r="16" spans="1:15" ht="24" x14ac:dyDescent="0.25">
      <c r="A16" s="7" t="s">
        <v>297</v>
      </c>
      <c r="B16" s="8" t="s">
        <v>60</v>
      </c>
      <c r="C16" s="13" t="s">
        <v>7</v>
      </c>
      <c r="D16" s="8" t="s">
        <v>245</v>
      </c>
      <c r="E16" s="10" t="s">
        <v>298</v>
      </c>
      <c r="F16" s="10" t="s">
        <v>299</v>
      </c>
      <c r="G16" s="10" t="s">
        <v>300</v>
      </c>
      <c r="H16" s="10" t="s">
        <v>301</v>
      </c>
      <c r="I16" s="11" t="s">
        <v>10</v>
      </c>
      <c r="J16" s="8"/>
      <c r="K16" s="12"/>
      <c r="L16" s="8" t="s">
        <v>47</v>
      </c>
      <c r="M16" s="8" t="s">
        <v>48</v>
      </c>
      <c r="N16" s="12"/>
      <c r="O16" s="10"/>
    </row>
    <row r="17" spans="1:15" x14ac:dyDescent="0.25">
      <c r="A17" s="7" t="s">
        <v>302</v>
      </c>
      <c r="B17" s="8" t="s">
        <v>110</v>
      </c>
      <c r="C17" s="13" t="s">
        <v>7</v>
      </c>
      <c r="D17" s="8" t="s">
        <v>111</v>
      </c>
      <c r="E17" s="10" t="s">
        <v>303</v>
      </c>
      <c r="F17" s="10" t="s">
        <v>113</v>
      </c>
      <c r="G17" s="10" t="s">
        <v>304</v>
      </c>
      <c r="H17" s="10" t="s">
        <v>305</v>
      </c>
      <c r="I17" s="11" t="s">
        <v>10</v>
      </c>
      <c r="J17" s="8"/>
      <c r="K17" s="12"/>
      <c r="L17" s="8" t="s">
        <v>47</v>
      </c>
      <c r="M17" s="8" t="s">
        <v>48</v>
      </c>
      <c r="N17" s="12"/>
      <c r="O17" s="10"/>
    </row>
  </sheetData>
  <autoFilter ref="A4:O17" xr:uid="{00000000-0009-0000-0000-000004000000}"/>
  <mergeCells count="2">
    <mergeCell ref="A1:O1"/>
    <mergeCell ref="A2:O2"/>
  </mergeCells>
  <conditionalFormatting sqref="M5:M217">
    <cfRule type="cellIs" dxfId="32" priority="1" operator="equal">
      <formula>"Fail"</formula>
    </cfRule>
    <cfRule type="cellIs" dxfId="31" priority="2" operator="equal">
      <formula>"Pass"</formula>
    </cfRule>
    <cfRule type="cellIs" dxfId="30" priority="3" operator="equal">
      <formula>"Blocked"</formula>
    </cfRule>
  </conditionalFormatting>
  <dataValidations count="2">
    <dataValidation type="list" allowBlank="1" sqref="M5:M217" xr:uid="{00000000-0002-0000-0400-000000000000}">
      <formula1>"Not run,Pass,Fail,Blocked,N/A,Deprecated"</formula1>
    </dataValidation>
    <dataValidation type="list" allowBlank="1" sqref="J5:J217" xr:uid="{00000000-0002-0000-0400-000001000000}">
      <formula1>"Manual,Automated,To automate"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3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306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x14ac:dyDescent="0.25">
      <c r="A5" s="7" t="s">
        <v>307</v>
      </c>
      <c r="B5" s="8" t="s">
        <v>66</v>
      </c>
      <c r="C5" s="14" t="s">
        <v>6</v>
      </c>
      <c r="D5" s="8"/>
      <c r="E5" s="10" t="s">
        <v>308</v>
      </c>
      <c r="F5" s="10" t="s">
        <v>309</v>
      </c>
      <c r="G5" s="10" t="s">
        <v>310</v>
      </c>
      <c r="H5" s="10" t="s">
        <v>311</v>
      </c>
      <c r="I5" s="11" t="s">
        <v>10</v>
      </c>
      <c r="J5" s="8"/>
      <c r="K5" s="12"/>
      <c r="L5" s="8" t="s">
        <v>47</v>
      </c>
      <c r="M5" s="8" t="s">
        <v>48</v>
      </c>
      <c r="N5" s="12"/>
      <c r="O5" s="10"/>
    </row>
    <row r="6" spans="1:15" ht="24" x14ac:dyDescent="0.25">
      <c r="A6" s="7" t="s">
        <v>312</v>
      </c>
      <c r="B6" s="8" t="s">
        <v>142</v>
      </c>
      <c r="C6" s="9" t="s">
        <v>8</v>
      </c>
      <c r="D6" s="8" t="s">
        <v>177</v>
      </c>
      <c r="E6" s="10" t="s">
        <v>313</v>
      </c>
      <c r="F6" s="10" t="s">
        <v>314</v>
      </c>
      <c r="G6" s="10" t="s">
        <v>315</v>
      </c>
      <c r="H6" s="10" t="s">
        <v>316</v>
      </c>
      <c r="I6" s="11" t="s">
        <v>10</v>
      </c>
      <c r="J6" s="8"/>
      <c r="K6" s="12"/>
      <c r="L6" s="8" t="s">
        <v>47</v>
      </c>
      <c r="M6" s="8" t="s">
        <v>48</v>
      </c>
      <c r="N6" s="12"/>
      <c r="O6" s="10"/>
    </row>
    <row r="7" spans="1:15" ht="24" x14ac:dyDescent="0.25">
      <c r="A7" s="7" t="s">
        <v>317</v>
      </c>
      <c r="B7" s="8" t="s">
        <v>72</v>
      </c>
      <c r="C7" s="13" t="s">
        <v>7</v>
      </c>
      <c r="D7" s="8" t="s">
        <v>177</v>
      </c>
      <c r="E7" s="10" t="s">
        <v>318</v>
      </c>
      <c r="F7" s="10" t="s">
        <v>319</v>
      </c>
      <c r="G7" s="10" t="s">
        <v>320</v>
      </c>
      <c r="H7" s="10" t="s">
        <v>321</v>
      </c>
      <c r="I7" s="11" t="s">
        <v>10</v>
      </c>
      <c r="J7" s="8"/>
      <c r="K7" s="12"/>
      <c r="L7" s="8" t="s">
        <v>47</v>
      </c>
      <c r="M7" s="8" t="s">
        <v>48</v>
      </c>
      <c r="N7" s="12"/>
      <c r="O7" s="10"/>
    </row>
    <row r="8" spans="1:15" ht="24" x14ac:dyDescent="0.25">
      <c r="A8" s="7" t="s">
        <v>322</v>
      </c>
      <c r="B8" s="8" t="s">
        <v>72</v>
      </c>
      <c r="C8" s="13" t="s">
        <v>7</v>
      </c>
      <c r="D8" s="8" t="s">
        <v>177</v>
      </c>
      <c r="E8" s="10" t="s">
        <v>323</v>
      </c>
      <c r="F8" s="10" t="s">
        <v>324</v>
      </c>
      <c r="G8" s="10" t="s">
        <v>325</v>
      </c>
      <c r="H8" s="10" t="s">
        <v>326</v>
      </c>
      <c r="I8" s="11" t="s">
        <v>10</v>
      </c>
      <c r="J8" s="8"/>
      <c r="K8" s="12"/>
      <c r="L8" s="8" t="s">
        <v>47</v>
      </c>
      <c r="M8" s="8" t="s">
        <v>48</v>
      </c>
      <c r="N8" s="12"/>
      <c r="O8" s="10"/>
    </row>
    <row r="9" spans="1:15" x14ac:dyDescent="0.25">
      <c r="A9" s="7" t="s">
        <v>327</v>
      </c>
      <c r="B9" s="8" t="s">
        <v>60</v>
      </c>
      <c r="C9" s="14" t="s">
        <v>6</v>
      </c>
      <c r="D9" s="8"/>
      <c r="E9" s="10" t="s">
        <v>328</v>
      </c>
      <c r="F9" s="10" t="s">
        <v>329</v>
      </c>
      <c r="G9" s="10" t="s">
        <v>330</v>
      </c>
      <c r="H9" s="10" t="s">
        <v>331</v>
      </c>
      <c r="I9" s="11" t="s">
        <v>10</v>
      </c>
      <c r="J9" s="8"/>
      <c r="K9" s="12"/>
      <c r="L9" s="8" t="s">
        <v>47</v>
      </c>
      <c r="M9" s="8" t="s">
        <v>48</v>
      </c>
      <c r="N9" s="12"/>
      <c r="O9" s="10"/>
    </row>
    <row r="10" spans="1:15" ht="24" x14ac:dyDescent="0.25">
      <c r="A10" s="7" t="s">
        <v>332</v>
      </c>
      <c r="B10" s="8" t="s">
        <v>72</v>
      </c>
      <c r="C10" s="13" t="s">
        <v>7</v>
      </c>
      <c r="D10" s="8"/>
      <c r="E10" s="10" t="s">
        <v>333</v>
      </c>
      <c r="F10" s="10" t="s">
        <v>334</v>
      </c>
      <c r="G10" s="10" t="s">
        <v>335</v>
      </c>
      <c r="H10" s="10" t="s">
        <v>336</v>
      </c>
      <c r="I10" s="11" t="s">
        <v>10</v>
      </c>
      <c r="J10" s="8"/>
      <c r="K10" s="12"/>
      <c r="L10" s="8" t="s">
        <v>47</v>
      </c>
      <c r="M10" s="8" t="s">
        <v>48</v>
      </c>
      <c r="N10" s="12"/>
      <c r="O10" s="10"/>
    </row>
    <row r="11" spans="1:15" x14ac:dyDescent="0.25">
      <c r="A11" s="7" t="s">
        <v>337</v>
      </c>
      <c r="B11" s="8" t="s">
        <v>41</v>
      </c>
      <c r="C11" s="9" t="s">
        <v>8</v>
      </c>
      <c r="D11" s="8" t="s">
        <v>42</v>
      </c>
      <c r="E11" s="10" t="s">
        <v>338</v>
      </c>
      <c r="F11" s="10" t="s">
        <v>339</v>
      </c>
      <c r="G11" s="10" t="s">
        <v>340</v>
      </c>
      <c r="H11" s="10" t="s">
        <v>341</v>
      </c>
      <c r="I11" s="11" t="s">
        <v>10</v>
      </c>
      <c r="J11" s="8"/>
      <c r="K11" s="12"/>
      <c r="L11" s="8" t="s">
        <v>47</v>
      </c>
      <c r="M11" s="8" t="s">
        <v>48</v>
      </c>
      <c r="N11" s="12"/>
      <c r="O11" s="10"/>
    </row>
    <row r="12" spans="1:15" ht="24" x14ac:dyDescent="0.25">
      <c r="A12" s="7" t="s">
        <v>342</v>
      </c>
      <c r="B12" s="8" t="s">
        <v>142</v>
      </c>
      <c r="C12" s="13" t="s">
        <v>7</v>
      </c>
      <c r="D12" s="8"/>
      <c r="E12" s="10" t="s">
        <v>343</v>
      </c>
      <c r="F12" s="10" t="s">
        <v>344</v>
      </c>
      <c r="G12" s="10" t="s">
        <v>146</v>
      </c>
      <c r="H12" s="10" t="s">
        <v>345</v>
      </c>
      <c r="I12" s="11" t="s">
        <v>10</v>
      </c>
      <c r="J12" s="8"/>
      <c r="K12" s="12"/>
      <c r="L12" s="8" t="s">
        <v>47</v>
      </c>
      <c r="M12" s="8" t="s">
        <v>48</v>
      </c>
      <c r="N12" s="12"/>
      <c r="O12" s="10"/>
    </row>
    <row r="13" spans="1:15" ht="24" x14ac:dyDescent="0.25">
      <c r="A13" s="7" t="s">
        <v>346</v>
      </c>
      <c r="B13" s="8" t="s">
        <v>110</v>
      </c>
      <c r="C13" s="13" t="s">
        <v>7</v>
      </c>
      <c r="D13" s="8" t="s">
        <v>111</v>
      </c>
      <c r="E13" s="10" t="s">
        <v>347</v>
      </c>
      <c r="F13" s="10" t="s">
        <v>113</v>
      </c>
      <c r="G13" s="10" t="s">
        <v>202</v>
      </c>
      <c r="H13" s="10" t="s">
        <v>348</v>
      </c>
      <c r="I13" s="11" t="s">
        <v>10</v>
      </c>
      <c r="J13" s="8"/>
      <c r="K13" s="12"/>
      <c r="L13" s="8" t="s">
        <v>47</v>
      </c>
      <c r="M13" s="8" t="s">
        <v>48</v>
      </c>
      <c r="N13" s="12"/>
      <c r="O13" s="10"/>
    </row>
  </sheetData>
  <autoFilter ref="A4:O13" xr:uid="{00000000-0009-0000-0000-000005000000}"/>
  <mergeCells count="2">
    <mergeCell ref="A1:O1"/>
    <mergeCell ref="A2:O2"/>
  </mergeCells>
  <conditionalFormatting sqref="M5:M213">
    <cfRule type="cellIs" dxfId="29" priority="1" operator="equal">
      <formula>"Fail"</formula>
    </cfRule>
    <cfRule type="cellIs" dxfId="28" priority="2" operator="equal">
      <formula>"Pass"</formula>
    </cfRule>
    <cfRule type="cellIs" dxfId="27" priority="3" operator="equal">
      <formula>"Blocked"</formula>
    </cfRule>
  </conditionalFormatting>
  <dataValidations count="2">
    <dataValidation type="list" allowBlank="1" sqref="M5:M213" xr:uid="{00000000-0002-0000-0500-000000000000}">
      <formula1>"Not run,Pass,Fail,Blocked,N/A,Deprecated"</formula1>
    </dataValidation>
    <dataValidation type="list" allowBlank="1" sqref="J5:J213" xr:uid="{00000000-0002-0000-0500-000001000000}">
      <formula1>"Manual,Automated,To automate"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6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349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x14ac:dyDescent="0.25">
      <c r="A5" s="7" t="s">
        <v>350</v>
      </c>
      <c r="B5" s="8" t="s">
        <v>60</v>
      </c>
      <c r="C5" s="9" t="s">
        <v>8</v>
      </c>
      <c r="D5" s="8" t="s">
        <v>351</v>
      </c>
      <c r="E5" s="10" t="s">
        <v>352</v>
      </c>
      <c r="F5" s="10" t="s">
        <v>353</v>
      </c>
      <c r="G5" s="10" t="s">
        <v>354</v>
      </c>
      <c r="H5" s="10" t="s">
        <v>355</v>
      </c>
      <c r="I5" s="11" t="s">
        <v>10</v>
      </c>
      <c r="J5" s="8"/>
      <c r="K5" s="12"/>
      <c r="L5" s="8" t="s">
        <v>47</v>
      </c>
      <c r="M5" s="8" t="s">
        <v>48</v>
      </c>
      <c r="N5" s="12"/>
      <c r="O5" s="10"/>
    </row>
    <row r="6" spans="1:15" ht="24" x14ac:dyDescent="0.25">
      <c r="A6" s="7" t="s">
        <v>356</v>
      </c>
      <c r="B6" s="8" t="s">
        <v>72</v>
      </c>
      <c r="C6" s="9" t="s">
        <v>8</v>
      </c>
      <c r="D6" s="8" t="s">
        <v>189</v>
      </c>
      <c r="E6" s="10" t="s">
        <v>357</v>
      </c>
      <c r="F6" s="10" t="s">
        <v>358</v>
      </c>
      <c r="G6" s="10" t="s">
        <v>359</v>
      </c>
      <c r="H6" s="10" t="s">
        <v>360</v>
      </c>
      <c r="I6" s="11" t="s">
        <v>10</v>
      </c>
      <c r="J6" s="8"/>
      <c r="K6" s="12"/>
      <c r="L6" s="8" t="s">
        <v>47</v>
      </c>
      <c r="M6" s="8" t="s">
        <v>48</v>
      </c>
      <c r="N6" s="12"/>
      <c r="O6" s="10"/>
    </row>
    <row r="7" spans="1:15" ht="24" x14ac:dyDescent="0.25">
      <c r="A7" s="7" t="s">
        <v>361</v>
      </c>
      <c r="B7" s="8" t="s">
        <v>41</v>
      </c>
      <c r="C7" s="9" t="s">
        <v>8</v>
      </c>
      <c r="D7" s="8" t="s">
        <v>42</v>
      </c>
      <c r="E7" s="10" t="s">
        <v>362</v>
      </c>
      <c r="F7" s="10" t="s">
        <v>363</v>
      </c>
      <c r="G7" s="10" t="s">
        <v>364</v>
      </c>
      <c r="H7" s="10" t="s">
        <v>365</v>
      </c>
      <c r="I7" s="11" t="s">
        <v>10</v>
      </c>
      <c r="J7" s="8"/>
      <c r="K7" s="12"/>
      <c r="L7" s="8" t="s">
        <v>47</v>
      </c>
      <c r="M7" s="8" t="s">
        <v>48</v>
      </c>
      <c r="N7" s="12"/>
      <c r="O7" s="10"/>
    </row>
    <row r="8" spans="1:15" x14ac:dyDescent="0.25">
      <c r="A8" s="7" t="s">
        <v>366</v>
      </c>
      <c r="B8" s="8" t="s">
        <v>72</v>
      </c>
      <c r="C8" s="14" t="s">
        <v>6</v>
      </c>
      <c r="D8" s="8" t="s">
        <v>351</v>
      </c>
      <c r="E8" s="10" t="s">
        <v>367</v>
      </c>
      <c r="F8" s="10" t="s">
        <v>368</v>
      </c>
      <c r="G8" s="10" t="s">
        <v>369</v>
      </c>
      <c r="H8" s="10" t="s">
        <v>370</v>
      </c>
      <c r="I8" s="11" t="s">
        <v>10</v>
      </c>
      <c r="J8" s="8"/>
      <c r="K8" s="12"/>
      <c r="L8" s="8" t="s">
        <v>47</v>
      </c>
      <c r="M8" s="8" t="s">
        <v>48</v>
      </c>
      <c r="N8" s="12"/>
      <c r="O8" s="10"/>
    </row>
    <row r="9" spans="1:15" ht="24" x14ac:dyDescent="0.25">
      <c r="A9" s="7" t="s">
        <v>371</v>
      </c>
      <c r="B9" s="8" t="s">
        <v>72</v>
      </c>
      <c r="C9" s="13" t="s">
        <v>7</v>
      </c>
      <c r="D9" s="8" t="s">
        <v>351</v>
      </c>
      <c r="E9" s="10" t="s">
        <v>372</v>
      </c>
      <c r="F9" s="10" t="s">
        <v>373</v>
      </c>
      <c r="G9" s="10" t="s">
        <v>369</v>
      </c>
      <c r="H9" s="10" t="s">
        <v>374</v>
      </c>
      <c r="I9" s="11" t="s">
        <v>10</v>
      </c>
      <c r="J9" s="8"/>
      <c r="K9" s="12"/>
      <c r="L9" s="8" t="s">
        <v>47</v>
      </c>
      <c r="M9" s="8" t="s">
        <v>48</v>
      </c>
      <c r="N9" s="12"/>
      <c r="O9" s="10"/>
    </row>
    <row r="10" spans="1:15" ht="24" x14ac:dyDescent="0.25">
      <c r="A10" s="7" t="s">
        <v>375</v>
      </c>
      <c r="B10" s="8" t="s">
        <v>72</v>
      </c>
      <c r="C10" s="13" t="s">
        <v>7</v>
      </c>
      <c r="D10" s="8" t="s">
        <v>351</v>
      </c>
      <c r="E10" s="10" t="s">
        <v>376</v>
      </c>
      <c r="F10" s="10" t="s">
        <v>377</v>
      </c>
      <c r="G10" s="10" t="s">
        <v>378</v>
      </c>
      <c r="H10" s="10" t="s">
        <v>379</v>
      </c>
      <c r="I10" s="11" t="s">
        <v>10</v>
      </c>
      <c r="J10" s="8"/>
      <c r="K10" s="12"/>
      <c r="L10" s="8" t="s">
        <v>47</v>
      </c>
      <c r="M10" s="8" t="s">
        <v>48</v>
      </c>
      <c r="N10" s="12"/>
      <c r="O10" s="10"/>
    </row>
    <row r="11" spans="1:15" ht="24" x14ac:dyDescent="0.25">
      <c r="A11" s="7" t="s">
        <v>380</v>
      </c>
      <c r="B11" s="8" t="s">
        <v>72</v>
      </c>
      <c r="C11" s="13" t="s">
        <v>7</v>
      </c>
      <c r="D11" s="8" t="s">
        <v>351</v>
      </c>
      <c r="E11" s="10" t="s">
        <v>381</v>
      </c>
      <c r="F11" s="10" t="s">
        <v>382</v>
      </c>
      <c r="G11" s="10" t="s">
        <v>383</v>
      </c>
      <c r="H11" s="10" t="s">
        <v>384</v>
      </c>
      <c r="I11" s="11" t="s">
        <v>10</v>
      </c>
      <c r="J11" s="8"/>
      <c r="K11" s="12"/>
      <c r="L11" s="8" t="s">
        <v>47</v>
      </c>
      <c r="M11" s="8" t="s">
        <v>48</v>
      </c>
      <c r="N11" s="12"/>
      <c r="O11" s="10"/>
    </row>
    <row r="12" spans="1:15" x14ac:dyDescent="0.25">
      <c r="A12" s="7" t="s">
        <v>385</v>
      </c>
      <c r="B12" s="8" t="s">
        <v>72</v>
      </c>
      <c r="C12" s="13" t="s">
        <v>7</v>
      </c>
      <c r="D12" s="8" t="s">
        <v>351</v>
      </c>
      <c r="E12" s="10" t="s">
        <v>386</v>
      </c>
      <c r="F12" s="10" t="s">
        <v>387</v>
      </c>
      <c r="G12" s="10" t="s">
        <v>369</v>
      </c>
      <c r="H12" s="10" t="s">
        <v>388</v>
      </c>
      <c r="I12" s="11" t="s">
        <v>10</v>
      </c>
      <c r="J12" s="8"/>
      <c r="K12" s="12"/>
      <c r="L12" s="8" t="s">
        <v>47</v>
      </c>
      <c r="M12" s="8" t="s">
        <v>48</v>
      </c>
      <c r="N12" s="12"/>
      <c r="O12" s="10"/>
    </row>
    <row r="13" spans="1:15" ht="24" x14ac:dyDescent="0.25">
      <c r="A13" s="7" t="s">
        <v>389</v>
      </c>
      <c r="B13" s="8" t="s">
        <v>72</v>
      </c>
      <c r="C13" s="13" t="s">
        <v>7</v>
      </c>
      <c r="D13" s="8" t="s">
        <v>351</v>
      </c>
      <c r="E13" s="10" t="s">
        <v>390</v>
      </c>
      <c r="F13" s="10" t="s">
        <v>391</v>
      </c>
      <c r="G13" s="10" t="s">
        <v>369</v>
      </c>
      <c r="H13" s="10" t="s">
        <v>392</v>
      </c>
      <c r="I13" s="11" t="s">
        <v>10</v>
      </c>
      <c r="J13" s="8"/>
      <c r="K13" s="12"/>
      <c r="L13" s="8" t="s">
        <v>47</v>
      </c>
      <c r="M13" s="8" t="s">
        <v>48</v>
      </c>
      <c r="N13" s="12"/>
      <c r="O13" s="10"/>
    </row>
    <row r="14" spans="1:15" x14ac:dyDescent="0.25">
      <c r="A14" s="7" t="s">
        <v>393</v>
      </c>
      <c r="B14" s="8" t="s">
        <v>60</v>
      </c>
      <c r="C14" s="14" t="s">
        <v>6</v>
      </c>
      <c r="D14" s="8" t="s">
        <v>351</v>
      </c>
      <c r="E14" s="10" t="s">
        <v>394</v>
      </c>
      <c r="F14" s="10" t="s">
        <v>353</v>
      </c>
      <c r="G14" s="10" t="s">
        <v>395</v>
      </c>
      <c r="H14" s="10" t="s">
        <v>396</v>
      </c>
      <c r="I14" s="11" t="s">
        <v>10</v>
      </c>
      <c r="J14" s="8"/>
      <c r="K14" s="12"/>
      <c r="L14" s="8" t="s">
        <v>47</v>
      </c>
      <c r="M14" s="8" t="s">
        <v>48</v>
      </c>
      <c r="N14" s="12"/>
      <c r="O14" s="10"/>
    </row>
    <row r="15" spans="1:15" x14ac:dyDescent="0.25">
      <c r="A15" s="7" t="s">
        <v>397</v>
      </c>
      <c r="B15" s="8" t="s">
        <v>66</v>
      </c>
      <c r="C15" s="13" t="s">
        <v>7</v>
      </c>
      <c r="D15" s="8" t="s">
        <v>189</v>
      </c>
      <c r="E15" s="10" t="s">
        <v>398</v>
      </c>
      <c r="F15" s="10" t="s">
        <v>399</v>
      </c>
      <c r="G15" s="10" t="s">
        <v>364</v>
      </c>
      <c r="H15" s="10" t="s">
        <v>400</v>
      </c>
      <c r="I15" s="11" t="s">
        <v>10</v>
      </c>
      <c r="J15" s="8"/>
      <c r="K15" s="12"/>
      <c r="L15" s="8" t="s">
        <v>47</v>
      </c>
      <c r="M15" s="8" t="s">
        <v>48</v>
      </c>
      <c r="N15" s="12"/>
      <c r="O15" s="10"/>
    </row>
    <row r="16" spans="1:15" x14ac:dyDescent="0.25">
      <c r="A16" s="7" t="s">
        <v>401</v>
      </c>
      <c r="B16" s="8" t="s">
        <v>110</v>
      </c>
      <c r="C16" s="13" t="s">
        <v>7</v>
      </c>
      <c r="D16" s="8" t="s">
        <v>111</v>
      </c>
      <c r="E16" s="10" t="s">
        <v>402</v>
      </c>
      <c r="F16" s="10" t="s">
        <v>113</v>
      </c>
      <c r="G16" s="10" t="s">
        <v>369</v>
      </c>
      <c r="H16" s="10" t="s">
        <v>403</v>
      </c>
      <c r="I16" s="11" t="s">
        <v>10</v>
      </c>
      <c r="J16" s="8"/>
      <c r="K16" s="12"/>
      <c r="L16" s="8" t="s">
        <v>47</v>
      </c>
      <c r="M16" s="8" t="s">
        <v>48</v>
      </c>
      <c r="N16" s="12"/>
      <c r="O16" s="10"/>
    </row>
  </sheetData>
  <autoFilter ref="A4:O16" xr:uid="{00000000-0009-0000-0000-000006000000}"/>
  <mergeCells count="2">
    <mergeCell ref="A1:O1"/>
    <mergeCell ref="A2:O2"/>
  </mergeCells>
  <conditionalFormatting sqref="M5:M216">
    <cfRule type="cellIs" dxfId="26" priority="1" operator="equal">
      <formula>"Fail"</formula>
    </cfRule>
    <cfRule type="cellIs" dxfId="25" priority="2" operator="equal">
      <formula>"Pass"</formula>
    </cfRule>
    <cfRule type="cellIs" dxfId="24" priority="3" operator="equal">
      <formula>"Blocked"</formula>
    </cfRule>
  </conditionalFormatting>
  <dataValidations count="2">
    <dataValidation type="list" allowBlank="1" sqref="M5:M216" xr:uid="{00000000-0002-0000-0600-000000000000}">
      <formula1>"Not run,Pass,Fail,Blocked,N/A,Deprecated"</formula1>
    </dataValidation>
    <dataValidation type="list" allowBlank="1" sqref="J5:J216" xr:uid="{00000000-0002-0000-0600-000001000000}">
      <formula1>"Manual,Automated,To automate"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404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ht="24" x14ac:dyDescent="0.25">
      <c r="A5" s="7" t="s">
        <v>405</v>
      </c>
      <c r="B5" s="8" t="s">
        <v>66</v>
      </c>
      <c r="C5" s="14" t="s">
        <v>6</v>
      </c>
      <c r="D5" s="8"/>
      <c r="E5" s="10" t="s">
        <v>406</v>
      </c>
      <c r="F5" s="10" t="s">
        <v>407</v>
      </c>
      <c r="G5" s="10" t="s">
        <v>408</v>
      </c>
      <c r="H5" s="10" t="s">
        <v>409</v>
      </c>
      <c r="I5" s="15" t="s">
        <v>17</v>
      </c>
      <c r="J5" s="8"/>
      <c r="K5" s="12"/>
      <c r="L5" s="8" t="s">
        <v>47</v>
      </c>
      <c r="M5" s="8" t="s">
        <v>48</v>
      </c>
      <c r="N5" s="12"/>
      <c r="O5" s="10"/>
    </row>
    <row r="6" spans="1:15" x14ac:dyDescent="0.25">
      <c r="A6" s="7" t="s">
        <v>410</v>
      </c>
      <c r="B6" s="8" t="s">
        <v>72</v>
      </c>
      <c r="C6" s="13" t="s">
        <v>7</v>
      </c>
      <c r="D6" s="8"/>
      <c r="E6" s="10" t="s">
        <v>411</v>
      </c>
      <c r="F6" s="10" t="s">
        <v>412</v>
      </c>
      <c r="G6" s="10" t="s">
        <v>413</v>
      </c>
      <c r="H6" s="10" t="s">
        <v>414</v>
      </c>
      <c r="I6" s="15" t="s">
        <v>17</v>
      </c>
      <c r="J6" s="8"/>
      <c r="K6" s="12"/>
      <c r="L6" s="8" t="s">
        <v>47</v>
      </c>
      <c r="M6" s="8" t="s">
        <v>48</v>
      </c>
      <c r="N6" s="12"/>
      <c r="O6" s="10"/>
    </row>
    <row r="7" spans="1:15" x14ac:dyDescent="0.25">
      <c r="A7" s="7" t="s">
        <v>415</v>
      </c>
      <c r="B7" s="8" t="s">
        <v>72</v>
      </c>
      <c r="C7" s="13" t="s">
        <v>7</v>
      </c>
      <c r="D7" s="8"/>
      <c r="E7" s="10" t="s">
        <v>416</v>
      </c>
      <c r="F7" s="10" t="s">
        <v>417</v>
      </c>
      <c r="G7" s="10" t="s">
        <v>418</v>
      </c>
      <c r="H7" s="10" t="s">
        <v>419</v>
      </c>
      <c r="I7" s="15" t="s">
        <v>17</v>
      </c>
      <c r="J7" s="8"/>
      <c r="K7" s="12"/>
      <c r="L7" s="8" t="s">
        <v>47</v>
      </c>
      <c r="M7" s="8" t="s">
        <v>48</v>
      </c>
      <c r="N7" s="12"/>
      <c r="O7" s="10"/>
    </row>
    <row r="8" spans="1:15" x14ac:dyDescent="0.25">
      <c r="A8" s="7" t="s">
        <v>420</v>
      </c>
      <c r="B8" s="8" t="s">
        <v>60</v>
      </c>
      <c r="C8" s="9" t="s">
        <v>8</v>
      </c>
      <c r="D8" s="8"/>
      <c r="E8" s="10" t="s">
        <v>421</v>
      </c>
      <c r="F8" s="10" t="s">
        <v>422</v>
      </c>
      <c r="G8" s="10" t="s">
        <v>423</v>
      </c>
      <c r="H8" s="10" t="s">
        <v>424</v>
      </c>
      <c r="I8" s="15" t="s">
        <v>17</v>
      </c>
      <c r="J8" s="8"/>
      <c r="K8" s="12"/>
      <c r="L8" s="8" t="s">
        <v>47</v>
      </c>
      <c r="M8" s="8" t="s">
        <v>48</v>
      </c>
      <c r="N8" s="12"/>
      <c r="O8" s="10"/>
    </row>
    <row r="9" spans="1:15" ht="24" x14ac:dyDescent="0.25">
      <c r="A9" s="7" t="s">
        <v>425</v>
      </c>
      <c r="B9" s="8" t="s">
        <v>72</v>
      </c>
      <c r="C9" s="13" t="s">
        <v>7</v>
      </c>
      <c r="D9" s="8" t="s">
        <v>177</v>
      </c>
      <c r="E9" s="10" t="s">
        <v>426</v>
      </c>
      <c r="F9" s="10" t="s">
        <v>427</v>
      </c>
      <c r="G9" s="10" t="s">
        <v>428</v>
      </c>
      <c r="H9" s="10" t="s">
        <v>429</v>
      </c>
      <c r="I9" s="15" t="s">
        <v>17</v>
      </c>
      <c r="J9" s="8"/>
      <c r="K9" s="12"/>
      <c r="L9" s="8" t="s">
        <v>47</v>
      </c>
      <c r="M9" s="8" t="s">
        <v>48</v>
      </c>
      <c r="N9" s="12"/>
      <c r="O9" s="10"/>
    </row>
  </sheetData>
  <autoFilter ref="A4:O9" xr:uid="{00000000-0009-0000-0000-000007000000}"/>
  <mergeCells count="2">
    <mergeCell ref="A1:O1"/>
    <mergeCell ref="A2:O2"/>
  </mergeCells>
  <conditionalFormatting sqref="M5:M209">
    <cfRule type="cellIs" dxfId="23" priority="1" operator="equal">
      <formula>"Fail"</formula>
    </cfRule>
    <cfRule type="cellIs" dxfId="22" priority="2" operator="equal">
      <formula>"Pass"</formula>
    </cfRule>
    <cfRule type="cellIs" dxfId="21" priority="3" operator="equal">
      <formula>"Blocked"</formula>
    </cfRule>
  </conditionalFormatting>
  <dataValidations count="2">
    <dataValidation type="list" allowBlank="1" sqref="M5:M209" xr:uid="{00000000-0002-0000-0700-000000000000}">
      <formula1>"Not run,Pass,Fail,Blocked,N/A,Deprecated"</formula1>
    </dataValidation>
    <dataValidation type="list" allowBlank="1" sqref="J5:J209" xr:uid="{00000000-0002-0000-0700-000001000000}">
      <formula1>"Manual,Automated,To automate"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9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430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ht="24" x14ac:dyDescent="0.25">
      <c r="A5" s="7" t="s">
        <v>431</v>
      </c>
      <c r="B5" s="8" t="s">
        <v>66</v>
      </c>
      <c r="C5" s="14" t="s">
        <v>6</v>
      </c>
      <c r="D5" s="8" t="s">
        <v>351</v>
      </c>
      <c r="E5" s="10" t="s">
        <v>432</v>
      </c>
      <c r="F5" s="10" t="s">
        <v>433</v>
      </c>
      <c r="G5" s="10" t="s">
        <v>434</v>
      </c>
      <c r="H5" s="10" t="s">
        <v>435</v>
      </c>
      <c r="I5" s="11" t="s">
        <v>10</v>
      </c>
      <c r="J5" s="8"/>
      <c r="K5" s="12"/>
      <c r="L5" s="8" t="s">
        <v>47</v>
      </c>
      <c r="M5" s="8" t="s">
        <v>48</v>
      </c>
      <c r="N5" s="12"/>
      <c r="O5" s="10"/>
    </row>
    <row r="6" spans="1:15" ht="24" x14ac:dyDescent="0.25">
      <c r="A6" s="7" t="s">
        <v>436</v>
      </c>
      <c r="B6" s="8" t="s">
        <v>72</v>
      </c>
      <c r="C6" s="9" t="s">
        <v>8</v>
      </c>
      <c r="D6" s="8" t="s">
        <v>351</v>
      </c>
      <c r="E6" s="10" t="s">
        <v>437</v>
      </c>
      <c r="F6" s="10" t="s">
        <v>438</v>
      </c>
      <c r="G6" s="10" t="s">
        <v>439</v>
      </c>
      <c r="H6" s="10" t="s">
        <v>440</v>
      </c>
      <c r="I6" s="11" t="s">
        <v>10</v>
      </c>
      <c r="J6" s="8"/>
      <c r="K6" s="12"/>
      <c r="L6" s="8" t="s">
        <v>47</v>
      </c>
      <c r="M6" s="8" t="s">
        <v>48</v>
      </c>
      <c r="N6" s="12"/>
      <c r="O6" s="10"/>
    </row>
    <row r="7" spans="1:15" x14ac:dyDescent="0.25">
      <c r="A7" s="7" t="s">
        <v>441</v>
      </c>
      <c r="B7" s="8" t="s">
        <v>72</v>
      </c>
      <c r="C7" s="13" t="s">
        <v>7</v>
      </c>
      <c r="D7" s="8" t="s">
        <v>351</v>
      </c>
      <c r="E7" s="10" t="s">
        <v>442</v>
      </c>
      <c r="F7" s="10" t="s">
        <v>443</v>
      </c>
      <c r="G7" s="10" t="s">
        <v>434</v>
      </c>
      <c r="H7" s="10" t="s">
        <v>444</v>
      </c>
      <c r="I7" s="11" t="s">
        <v>10</v>
      </c>
      <c r="J7" s="8"/>
      <c r="K7" s="12"/>
      <c r="L7" s="8" t="s">
        <v>47</v>
      </c>
      <c r="M7" s="8" t="s">
        <v>48</v>
      </c>
      <c r="N7" s="12"/>
      <c r="O7" s="10"/>
    </row>
    <row r="8" spans="1:15" x14ac:dyDescent="0.25">
      <c r="A8" s="7" t="s">
        <v>445</v>
      </c>
      <c r="B8" s="8" t="s">
        <v>60</v>
      </c>
      <c r="C8" s="14" t="s">
        <v>6</v>
      </c>
      <c r="D8" s="8"/>
      <c r="E8" s="10" t="s">
        <v>446</v>
      </c>
      <c r="F8" s="10" t="s">
        <v>447</v>
      </c>
      <c r="G8" s="10" t="s">
        <v>448</v>
      </c>
      <c r="H8" s="10" t="s">
        <v>449</v>
      </c>
      <c r="I8" s="11" t="s">
        <v>10</v>
      </c>
      <c r="J8" s="8"/>
      <c r="K8" s="12"/>
      <c r="L8" s="8" t="s">
        <v>47</v>
      </c>
      <c r="M8" s="8" t="s">
        <v>48</v>
      </c>
      <c r="N8" s="12"/>
      <c r="O8" s="10"/>
    </row>
    <row r="9" spans="1:15" ht="24" x14ac:dyDescent="0.25">
      <c r="A9" s="7" t="s">
        <v>450</v>
      </c>
      <c r="B9" s="8" t="s">
        <v>72</v>
      </c>
      <c r="C9" s="13" t="s">
        <v>7</v>
      </c>
      <c r="D9" s="8" t="s">
        <v>245</v>
      </c>
      <c r="E9" s="10" t="s">
        <v>451</v>
      </c>
      <c r="F9" s="10" t="s">
        <v>452</v>
      </c>
      <c r="G9" s="10" t="s">
        <v>434</v>
      </c>
      <c r="H9" s="10" t="s">
        <v>453</v>
      </c>
      <c r="I9" s="11" t="s">
        <v>10</v>
      </c>
      <c r="J9" s="8"/>
      <c r="K9" s="12"/>
      <c r="L9" s="8" t="s">
        <v>47</v>
      </c>
      <c r="M9" s="8" t="s">
        <v>48</v>
      </c>
      <c r="N9" s="12"/>
      <c r="O9" s="10"/>
    </row>
  </sheetData>
  <autoFilter ref="A4:O9" xr:uid="{00000000-0009-0000-0000-000008000000}"/>
  <mergeCells count="2">
    <mergeCell ref="A1:O1"/>
    <mergeCell ref="A2:O2"/>
  </mergeCells>
  <conditionalFormatting sqref="M5:M209">
    <cfRule type="cellIs" dxfId="20" priority="1" operator="equal">
      <formula>"Fail"</formula>
    </cfRule>
    <cfRule type="cellIs" dxfId="19" priority="2" operator="equal">
      <formula>"Pass"</formula>
    </cfRule>
    <cfRule type="cellIs" dxfId="18" priority="3" operator="equal">
      <formula>"Blocked"</formula>
    </cfRule>
  </conditionalFormatting>
  <dataValidations count="2">
    <dataValidation type="list" allowBlank="1" sqref="M5:M209" xr:uid="{00000000-0002-0000-0800-000000000000}">
      <formula1>"Not run,Pass,Fail,Blocked,N/A,Deprecated"</formula1>
    </dataValidation>
    <dataValidation type="list" allowBlank="1" sqref="J5:J209" xr:uid="{00000000-0002-0000-0800-000001000000}">
      <formula1>"Manual,Automated,To automate"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454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x14ac:dyDescent="0.25">
      <c r="A5" s="7" t="s">
        <v>455</v>
      </c>
      <c r="B5" s="8" t="s">
        <v>66</v>
      </c>
      <c r="C5" s="14" t="s">
        <v>6</v>
      </c>
      <c r="D5" s="8"/>
      <c r="E5" s="10" t="s">
        <v>456</v>
      </c>
      <c r="F5" s="10" t="s">
        <v>457</v>
      </c>
      <c r="G5" s="10" t="s">
        <v>458</v>
      </c>
      <c r="H5" s="10" t="s">
        <v>459</v>
      </c>
      <c r="I5" s="15" t="s">
        <v>17</v>
      </c>
      <c r="J5" s="8"/>
      <c r="K5" s="12"/>
      <c r="L5" s="8" t="s">
        <v>47</v>
      </c>
      <c r="M5" s="8" t="s">
        <v>48</v>
      </c>
      <c r="N5" s="12"/>
      <c r="O5" s="10"/>
    </row>
    <row r="6" spans="1:15" x14ac:dyDescent="0.25">
      <c r="A6" s="7" t="s">
        <v>460</v>
      </c>
      <c r="B6" s="8" t="s">
        <v>72</v>
      </c>
      <c r="C6" s="13" t="s">
        <v>7</v>
      </c>
      <c r="D6" s="8" t="s">
        <v>461</v>
      </c>
      <c r="E6" s="10" t="s">
        <v>462</v>
      </c>
      <c r="F6" s="10" t="s">
        <v>463</v>
      </c>
      <c r="G6" s="10" t="s">
        <v>464</v>
      </c>
      <c r="H6" s="10" t="s">
        <v>465</v>
      </c>
      <c r="I6" s="15" t="s">
        <v>17</v>
      </c>
      <c r="J6" s="8"/>
      <c r="K6" s="12"/>
      <c r="L6" s="8" t="s">
        <v>47</v>
      </c>
      <c r="M6" s="8" t="s">
        <v>48</v>
      </c>
      <c r="N6" s="12"/>
      <c r="O6" s="10"/>
    </row>
    <row r="7" spans="1:15" ht="24" x14ac:dyDescent="0.25">
      <c r="A7" s="7" t="s">
        <v>466</v>
      </c>
      <c r="B7" s="8" t="s">
        <v>72</v>
      </c>
      <c r="C7" s="13" t="s">
        <v>7</v>
      </c>
      <c r="D7" s="8" t="s">
        <v>461</v>
      </c>
      <c r="E7" s="10" t="s">
        <v>467</v>
      </c>
      <c r="F7" s="10" t="s">
        <v>468</v>
      </c>
      <c r="G7" s="10" t="s">
        <v>469</v>
      </c>
      <c r="H7" s="10" t="s">
        <v>470</v>
      </c>
      <c r="I7" s="15" t="s">
        <v>17</v>
      </c>
      <c r="J7" s="8"/>
      <c r="K7" s="12"/>
      <c r="L7" s="8" t="s">
        <v>47</v>
      </c>
      <c r="M7" s="8" t="s">
        <v>48</v>
      </c>
      <c r="N7" s="12"/>
      <c r="O7" s="10"/>
    </row>
    <row r="8" spans="1:15" x14ac:dyDescent="0.25">
      <c r="A8" s="7" t="s">
        <v>471</v>
      </c>
      <c r="B8" s="8" t="s">
        <v>72</v>
      </c>
      <c r="C8" s="13" t="s">
        <v>7</v>
      </c>
      <c r="D8" s="8" t="s">
        <v>461</v>
      </c>
      <c r="E8" s="10" t="s">
        <v>472</v>
      </c>
      <c r="F8" s="10" t="s">
        <v>473</v>
      </c>
      <c r="G8" s="10" t="s">
        <v>474</v>
      </c>
      <c r="H8" s="10" t="s">
        <v>475</v>
      </c>
      <c r="I8" s="15" t="s">
        <v>17</v>
      </c>
      <c r="J8" s="8"/>
      <c r="K8" s="12"/>
      <c r="L8" s="8" t="s">
        <v>47</v>
      </c>
      <c r="M8" s="8" t="s">
        <v>48</v>
      </c>
      <c r="N8" s="12"/>
      <c r="O8" s="10"/>
    </row>
    <row r="9" spans="1:15" x14ac:dyDescent="0.25">
      <c r="A9" s="7" t="s">
        <v>476</v>
      </c>
      <c r="B9" s="8" t="s">
        <v>41</v>
      </c>
      <c r="C9" s="9" t="s">
        <v>8</v>
      </c>
      <c r="D9" s="8" t="s">
        <v>42</v>
      </c>
      <c r="E9" s="10" t="s">
        <v>477</v>
      </c>
      <c r="F9" s="10" t="s">
        <v>478</v>
      </c>
      <c r="G9" s="10" t="s">
        <v>474</v>
      </c>
      <c r="H9" s="10" t="s">
        <v>479</v>
      </c>
      <c r="I9" s="15" t="s">
        <v>17</v>
      </c>
      <c r="J9" s="8"/>
      <c r="K9" s="12"/>
      <c r="L9" s="8" t="s">
        <v>47</v>
      </c>
      <c r="M9" s="8" t="s">
        <v>48</v>
      </c>
      <c r="N9" s="12"/>
      <c r="O9" s="10"/>
    </row>
    <row r="10" spans="1:15" x14ac:dyDescent="0.25">
      <c r="A10" s="7" t="s">
        <v>480</v>
      </c>
      <c r="B10" s="8" t="s">
        <v>110</v>
      </c>
      <c r="C10" s="13" t="s">
        <v>7</v>
      </c>
      <c r="D10" s="8" t="s">
        <v>111</v>
      </c>
      <c r="E10" s="10" t="s">
        <v>481</v>
      </c>
      <c r="F10" s="10" t="s">
        <v>482</v>
      </c>
      <c r="G10" s="10" t="s">
        <v>464</v>
      </c>
      <c r="H10" s="10" t="s">
        <v>483</v>
      </c>
      <c r="I10" s="15" t="s">
        <v>17</v>
      </c>
      <c r="J10" s="8"/>
      <c r="K10" s="12"/>
      <c r="L10" s="8" t="s">
        <v>47</v>
      </c>
      <c r="M10" s="8" t="s">
        <v>48</v>
      </c>
      <c r="N10" s="12"/>
      <c r="O10" s="10"/>
    </row>
  </sheetData>
  <autoFilter ref="A4:O10" xr:uid="{00000000-0009-0000-0000-000009000000}"/>
  <mergeCells count="2">
    <mergeCell ref="A1:O1"/>
    <mergeCell ref="A2:O2"/>
  </mergeCells>
  <conditionalFormatting sqref="M5:M210">
    <cfRule type="cellIs" dxfId="17" priority="1" operator="equal">
      <formula>"Fail"</formula>
    </cfRule>
    <cfRule type="cellIs" dxfId="16" priority="2" operator="equal">
      <formula>"Pass"</formula>
    </cfRule>
    <cfRule type="cellIs" dxfId="15" priority="3" operator="equal">
      <formula>"Blocked"</formula>
    </cfRule>
  </conditionalFormatting>
  <dataValidations count="2">
    <dataValidation type="list" allowBlank="1" sqref="M5:M210" xr:uid="{00000000-0002-0000-0900-000000000000}">
      <formula1>"Not run,Pass,Fail,Blocked,N/A,Deprecated"</formula1>
    </dataValidation>
    <dataValidation type="list" allowBlank="1" sqref="J5:J210" xr:uid="{00000000-0002-0000-0900-000001000000}">
      <formula1>"Manual,Automated,To automate"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8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484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ht="24" x14ac:dyDescent="0.25">
      <c r="A5" s="7" t="s">
        <v>485</v>
      </c>
      <c r="B5" s="8" t="s">
        <v>66</v>
      </c>
      <c r="C5" s="14" t="s">
        <v>6</v>
      </c>
      <c r="D5" s="8"/>
      <c r="E5" s="10" t="s">
        <v>486</v>
      </c>
      <c r="F5" s="10" t="s">
        <v>487</v>
      </c>
      <c r="G5" s="10" t="s">
        <v>488</v>
      </c>
      <c r="H5" s="10" t="s">
        <v>489</v>
      </c>
      <c r="I5" s="15" t="s">
        <v>17</v>
      </c>
      <c r="J5" s="8"/>
      <c r="K5" s="12"/>
      <c r="L5" s="8" t="s">
        <v>47</v>
      </c>
      <c r="M5" s="8" t="s">
        <v>48</v>
      </c>
      <c r="N5" s="12"/>
      <c r="O5" s="10"/>
    </row>
    <row r="6" spans="1:15" ht="24" x14ac:dyDescent="0.25">
      <c r="A6" s="7" t="s">
        <v>490</v>
      </c>
      <c r="B6" s="8" t="s">
        <v>72</v>
      </c>
      <c r="C6" s="13" t="s">
        <v>7</v>
      </c>
      <c r="D6" s="8"/>
      <c r="E6" s="10" t="s">
        <v>491</v>
      </c>
      <c r="F6" s="10" t="s">
        <v>492</v>
      </c>
      <c r="G6" s="10" t="s">
        <v>423</v>
      </c>
      <c r="H6" s="10" t="s">
        <v>424</v>
      </c>
      <c r="I6" s="15" t="s">
        <v>17</v>
      </c>
      <c r="J6" s="8"/>
      <c r="K6" s="12"/>
      <c r="L6" s="8" t="s">
        <v>47</v>
      </c>
      <c r="M6" s="8" t="s">
        <v>48</v>
      </c>
      <c r="N6" s="12"/>
      <c r="O6" s="10"/>
    </row>
    <row r="7" spans="1:15" ht="24" x14ac:dyDescent="0.25">
      <c r="A7" s="7" t="s">
        <v>493</v>
      </c>
      <c r="B7" s="8" t="s">
        <v>72</v>
      </c>
      <c r="C7" s="13" t="s">
        <v>7</v>
      </c>
      <c r="D7" s="8"/>
      <c r="E7" s="10" t="s">
        <v>494</v>
      </c>
      <c r="F7" s="10" t="s">
        <v>495</v>
      </c>
      <c r="G7" s="10" t="s">
        <v>496</v>
      </c>
      <c r="H7" s="10" t="s">
        <v>497</v>
      </c>
      <c r="I7" s="15" t="s">
        <v>17</v>
      </c>
      <c r="J7" s="8"/>
      <c r="K7" s="12"/>
      <c r="L7" s="8" t="s">
        <v>47</v>
      </c>
      <c r="M7" s="8" t="s">
        <v>48</v>
      </c>
      <c r="N7" s="12"/>
      <c r="O7" s="10"/>
    </row>
    <row r="8" spans="1:15" x14ac:dyDescent="0.25">
      <c r="A8" s="7" t="s">
        <v>498</v>
      </c>
      <c r="B8" s="8" t="s">
        <v>41</v>
      </c>
      <c r="C8" s="9" t="s">
        <v>8</v>
      </c>
      <c r="D8" s="8" t="s">
        <v>42</v>
      </c>
      <c r="E8" s="10" t="s">
        <v>499</v>
      </c>
      <c r="F8" s="10" t="s">
        <v>500</v>
      </c>
      <c r="G8" s="10" t="s">
        <v>501</v>
      </c>
      <c r="H8" s="10" t="s">
        <v>171</v>
      </c>
      <c r="I8" s="15" t="s">
        <v>17</v>
      </c>
      <c r="J8" s="8"/>
      <c r="K8" s="12"/>
      <c r="L8" s="8" t="s">
        <v>47</v>
      </c>
      <c r="M8" s="8" t="s">
        <v>48</v>
      </c>
      <c r="N8" s="12"/>
      <c r="O8" s="10"/>
    </row>
  </sheetData>
  <autoFilter ref="A4:O8" xr:uid="{00000000-0009-0000-0000-00000A000000}"/>
  <mergeCells count="2">
    <mergeCell ref="A1:O1"/>
    <mergeCell ref="A2:O2"/>
  </mergeCells>
  <conditionalFormatting sqref="M5:M208">
    <cfRule type="cellIs" dxfId="14" priority="1" operator="equal">
      <formula>"Fail"</formula>
    </cfRule>
    <cfRule type="cellIs" dxfId="13" priority="2" operator="equal">
      <formula>"Pass"</formula>
    </cfRule>
    <cfRule type="cellIs" dxfId="12" priority="3" operator="equal">
      <formula>"Blocked"</formula>
    </cfRule>
  </conditionalFormatting>
  <dataValidations count="2">
    <dataValidation type="list" allowBlank="1" sqref="M5:M208" xr:uid="{00000000-0002-0000-0A00-000000000000}">
      <formula1>"Not run,Pass,Fail,Blocked,N/A,Deprecated"</formula1>
    </dataValidation>
    <dataValidation type="list" allowBlank="1" sqref="J5:J208" xr:uid="{00000000-0002-0000-0A00-000001000000}">
      <formula1>"Manual,Automated,To automate"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0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502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ht="24" x14ac:dyDescent="0.25">
      <c r="A5" s="7" t="s">
        <v>503</v>
      </c>
      <c r="B5" s="8" t="s">
        <v>72</v>
      </c>
      <c r="C5" s="14" t="s">
        <v>6</v>
      </c>
      <c r="D5" s="8" t="s">
        <v>351</v>
      </c>
      <c r="E5" s="10" t="s">
        <v>504</v>
      </c>
      <c r="F5" s="10" t="s">
        <v>505</v>
      </c>
      <c r="G5" s="10" t="s">
        <v>258</v>
      </c>
      <c r="H5" s="10" t="s">
        <v>506</v>
      </c>
      <c r="I5" s="11" t="s">
        <v>10</v>
      </c>
      <c r="J5" s="8"/>
      <c r="K5" s="12"/>
      <c r="L5" s="8" t="s">
        <v>47</v>
      </c>
      <c r="M5" s="8" t="s">
        <v>48</v>
      </c>
      <c r="N5" s="12"/>
      <c r="O5" s="10"/>
    </row>
    <row r="6" spans="1:15" ht="24" x14ac:dyDescent="0.25">
      <c r="A6" s="7" t="s">
        <v>507</v>
      </c>
      <c r="B6" s="8" t="s">
        <v>72</v>
      </c>
      <c r="C6" s="13" t="s">
        <v>7</v>
      </c>
      <c r="D6" s="8" t="s">
        <v>351</v>
      </c>
      <c r="E6" s="10" t="s">
        <v>508</v>
      </c>
      <c r="F6" s="10" t="s">
        <v>509</v>
      </c>
      <c r="G6" s="10" t="s">
        <v>510</v>
      </c>
      <c r="H6" s="10" t="s">
        <v>511</v>
      </c>
      <c r="I6" s="11" t="s">
        <v>10</v>
      </c>
      <c r="J6" s="8"/>
      <c r="K6" s="12"/>
      <c r="L6" s="8" t="s">
        <v>47</v>
      </c>
      <c r="M6" s="8" t="s">
        <v>48</v>
      </c>
      <c r="N6" s="12"/>
      <c r="O6" s="10"/>
    </row>
    <row r="7" spans="1:15" ht="24" x14ac:dyDescent="0.25">
      <c r="A7" s="7" t="s">
        <v>512</v>
      </c>
      <c r="B7" s="8" t="s">
        <v>72</v>
      </c>
      <c r="C7" s="13" t="s">
        <v>7</v>
      </c>
      <c r="D7" s="8" t="s">
        <v>351</v>
      </c>
      <c r="E7" s="10" t="s">
        <v>513</v>
      </c>
      <c r="F7" s="10" t="s">
        <v>514</v>
      </c>
      <c r="G7" s="10" t="s">
        <v>458</v>
      </c>
      <c r="H7" s="10" t="s">
        <v>515</v>
      </c>
      <c r="I7" s="11" t="s">
        <v>10</v>
      </c>
      <c r="J7" s="8"/>
      <c r="K7" s="12"/>
      <c r="L7" s="8" t="s">
        <v>47</v>
      </c>
      <c r="M7" s="8" t="s">
        <v>48</v>
      </c>
      <c r="N7" s="12"/>
      <c r="O7" s="10"/>
    </row>
    <row r="8" spans="1:15" x14ac:dyDescent="0.25">
      <c r="A8" s="7" t="s">
        <v>516</v>
      </c>
      <c r="B8" s="8" t="s">
        <v>72</v>
      </c>
      <c r="C8" s="13" t="s">
        <v>7</v>
      </c>
      <c r="D8" s="8" t="s">
        <v>351</v>
      </c>
      <c r="E8" s="10" t="s">
        <v>517</v>
      </c>
      <c r="F8" s="10" t="s">
        <v>518</v>
      </c>
      <c r="G8" s="10" t="s">
        <v>519</v>
      </c>
      <c r="H8" s="10" t="s">
        <v>520</v>
      </c>
      <c r="I8" s="11" t="s">
        <v>10</v>
      </c>
      <c r="J8" s="8"/>
      <c r="K8" s="12"/>
      <c r="L8" s="8" t="s">
        <v>47</v>
      </c>
      <c r="M8" s="8" t="s">
        <v>48</v>
      </c>
      <c r="N8" s="12"/>
      <c r="O8" s="10"/>
    </row>
    <row r="9" spans="1:15" ht="24" x14ac:dyDescent="0.25">
      <c r="A9" s="7" t="s">
        <v>521</v>
      </c>
      <c r="B9" s="8" t="s">
        <v>72</v>
      </c>
      <c r="C9" s="13" t="s">
        <v>7</v>
      </c>
      <c r="D9" s="8" t="s">
        <v>351</v>
      </c>
      <c r="E9" s="10" t="s">
        <v>522</v>
      </c>
      <c r="F9" s="10" t="s">
        <v>523</v>
      </c>
      <c r="G9" s="10" t="s">
        <v>383</v>
      </c>
      <c r="H9" s="10" t="s">
        <v>524</v>
      </c>
      <c r="I9" s="11" t="s">
        <v>10</v>
      </c>
      <c r="J9" s="8"/>
      <c r="K9" s="12"/>
      <c r="L9" s="8" t="s">
        <v>47</v>
      </c>
      <c r="M9" s="8" t="s">
        <v>48</v>
      </c>
      <c r="N9" s="12"/>
      <c r="O9" s="10"/>
    </row>
    <row r="10" spans="1:15" ht="24" x14ac:dyDescent="0.25">
      <c r="A10" s="7" t="s">
        <v>525</v>
      </c>
      <c r="B10" s="8" t="s">
        <v>41</v>
      </c>
      <c r="C10" s="9" t="s">
        <v>8</v>
      </c>
      <c r="D10" s="8" t="s">
        <v>42</v>
      </c>
      <c r="E10" s="10" t="s">
        <v>526</v>
      </c>
      <c r="F10" s="10" t="s">
        <v>527</v>
      </c>
      <c r="G10" s="10" t="s">
        <v>330</v>
      </c>
      <c r="H10" s="10" t="s">
        <v>171</v>
      </c>
      <c r="I10" s="11" t="s">
        <v>10</v>
      </c>
      <c r="J10" s="8"/>
      <c r="K10" s="12"/>
      <c r="L10" s="8" t="s">
        <v>47</v>
      </c>
      <c r="M10" s="8" t="s">
        <v>48</v>
      </c>
      <c r="N10" s="12"/>
      <c r="O10" s="10"/>
    </row>
  </sheetData>
  <autoFilter ref="A4:O10" xr:uid="{00000000-0009-0000-0000-00000B000000}"/>
  <mergeCells count="2">
    <mergeCell ref="A1:O1"/>
    <mergeCell ref="A2:O2"/>
  </mergeCells>
  <conditionalFormatting sqref="M5:M210">
    <cfRule type="cellIs" dxfId="11" priority="1" operator="equal">
      <formula>"Fail"</formula>
    </cfRule>
    <cfRule type="cellIs" dxfId="10" priority="2" operator="equal">
      <formula>"Pass"</formula>
    </cfRule>
    <cfRule type="cellIs" dxfId="9" priority="3" operator="equal">
      <formula>"Blocked"</formula>
    </cfRule>
  </conditionalFormatting>
  <dataValidations count="2">
    <dataValidation type="list" allowBlank="1" sqref="M5:M210" xr:uid="{00000000-0002-0000-0B00-000000000000}">
      <formula1>"Not run,Pass,Fail,Blocked,N/A,Deprecated"</formula1>
    </dataValidation>
    <dataValidation type="list" allowBlank="1" sqref="J5:J210" xr:uid="{00000000-0002-0000-0B00-000001000000}">
      <formula1>"Manual,Automated,To automate"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9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528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ht="24" x14ac:dyDescent="0.25">
      <c r="A5" s="7" t="s">
        <v>529</v>
      </c>
      <c r="B5" s="8" t="s">
        <v>142</v>
      </c>
      <c r="C5" s="14" t="s">
        <v>6</v>
      </c>
      <c r="D5" s="8" t="s">
        <v>143</v>
      </c>
      <c r="E5" s="10" t="s">
        <v>530</v>
      </c>
      <c r="F5" s="10" t="s">
        <v>531</v>
      </c>
      <c r="G5" s="10" t="s">
        <v>532</v>
      </c>
      <c r="H5" s="10" t="s">
        <v>533</v>
      </c>
      <c r="I5" s="11" t="s">
        <v>10</v>
      </c>
      <c r="J5" s="8"/>
      <c r="K5" s="12"/>
      <c r="L5" s="8" t="s">
        <v>47</v>
      </c>
      <c r="M5" s="8" t="s">
        <v>48</v>
      </c>
      <c r="N5" s="12"/>
      <c r="O5" s="10"/>
    </row>
    <row r="6" spans="1:15" ht="24" x14ac:dyDescent="0.25">
      <c r="A6" s="7" t="s">
        <v>534</v>
      </c>
      <c r="B6" s="8" t="s">
        <v>142</v>
      </c>
      <c r="C6" s="14" t="s">
        <v>6</v>
      </c>
      <c r="D6" s="8" t="s">
        <v>177</v>
      </c>
      <c r="E6" s="10" t="s">
        <v>535</v>
      </c>
      <c r="F6" s="10" t="s">
        <v>536</v>
      </c>
      <c r="G6" s="10" t="s">
        <v>537</v>
      </c>
      <c r="H6" s="10" t="s">
        <v>538</v>
      </c>
      <c r="I6" s="11" t="s">
        <v>10</v>
      </c>
      <c r="J6" s="8"/>
      <c r="K6" s="12"/>
      <c r="L6" s="8" t="s">
        <v>47</v>
      </c>
      <c r="M6" s="8" t="s">
        <v>48</v>
      </c>
      <c r="N6" s="12"/>
      <c r="O6" s="10"/>
    </row>
    <row r="7" spans="1:15" ht="24" x14ac:dyDescent="0.25">
      <c r="A7" s="7" t="s">
        <v>539</v>
      </c>
      <c r="B7" s="8" t="s">
        <v>142</v>
      </c>
      <c r="C7" s="9" t="s">
        <v>8</v>
      </c>
      <c r="D7" s="8" t="s">
        <v>143</v>
      </c>
      <c r="E7" s="10" t="s">
        <v>540</v>
      </c>
      <c r="F7" s="10" t="s">
        <v>541</v>
      </c>
      <c r="G7" s="10" t="s">
        <v>542</v>
      </c>
      <c r="H7" s="10" t="s">
        <v>543</v>
      </c>
      <c r="I7" s="11" t="s">
        <v>10</v>
      </c>
      <c r="J7" s="8"/>
      <c r="K7" s="12"/>
      <c r="L7" s="8" t="s">
        <v>47</v>
      </c>
      <c r="M7" s="8" t="s">
        <v>48</v>
      </c>
      <c r="N7" s="12"/>
      <c r="O7" s="10"/>
    </row>
    <row r="8" spans="1:15" ht="24" x14ac:dyDescent="0.25">
      <c r="A8" s="7" t="s">
        <v>544</v>
      </c>
      <c r="B8" s="8" t="s">
        <v>142</v>
      </c>
      <c r="C8" s="9" t="s">
        <v>8</v>
      </c>
      <c r="D8" s="8" t="s">
        <v>143</v>
      </c>
      <c r="E8" s="10" t="s">
        <v>545</v>
      </c>
      <c r="F8" s="10" t="s">
        <v>546</v>
      </c>
      <c r="G8" s="10" t="s">
        <v>547</v>
      </c>
      <c r="H8" s="10" t="s">
        <v>548</v>
      </c>
      <c r="I8" s="11" t="s">
        <v>10</v>
      </c>
      <c r="J8" s="8"/>
      <c r="K8" s="12"/>
      <c r="L8" s="8" t="s">
        <v>47</v>
      </c>
      <c r="M8" s="8" t="s">
        <v>48</v>
      </c>
      <c r="N8" s="12"/>
      <c r="O8" s="10"/>
    </row>
    <row r="9" spans="1:15" ht="24" x14ac:dyDescent="0.25">
      <c r="A9" s="7" t="s">
        <v>549</v>
      </c>
      <c r="B9" s="8" t="s">
        <v>142</v>
      </c>
      <c r="C9" s="9" t="s">
        <v>8</v>
      </c>
      <c r="D9" s="8" t="s">
        <v>143</v>
      </c>
      <c r="E9" s="10" t="s">
        <v>550</v>
      </c>
      <c r="F9" s="10" t="s">
        <v>551</v>
      </c>
      <c r="G9" s="10" t="s">
        <v>552</v>
      </c>
      <c r="H9" s="10" t="s">
        <v>553</v>
      </c>
      <c r="I9" s="11" t="s">
        <v>10</v>
      </c>
      <c r="J9" s="8"/>
      <c r="K9" s="12"/>
      <c r="L9" s="8" t="s">
        <v>47</v>
      </c>
      <c r="M9" s="8" t="s">
        <v>48</v>
      </c>
      <c r="N9" s="12"/>
      <c r="O9" s="10"/>
    </row>
    <row r="10" spans="1:15" x14ac:dyDescent="0.25">
      <c r="A10" s="7" t="s">
        <v>554</v>
      </c>
      <c r="B10" s="8" t="s">
        <v>41</v>
      </c>
      <c r="C10" s="9" t="s">
        <v>8</v>
      </c>
      <c r="D10" s="8" t="s">
        <v>42</v>
      </c>
      <c r="E10" s="10" t="s">
        <v>555</v>
      </c>
      <c r="F10" s="10" t="s">
        <v>556</v>
      </c>
      <c r="G10" s="10" t="s">
        <v>542</v>
      </c>
      <c r="H10" s="10" t="s">
        <v>557</v>
      </c>
      <c r="I10" s="11" t="s">
        <v>10</v>
      </c>
      <c r="J10" s="8"/>
      <c r="K10" s="12"/>
      <c r="L10" s="8" t="s">
        <v>47</v>
      </c>
      <c r="M10" s="8" t="s">
        <v>48</v>
      </c>
      <c r="N10" s="12"/>
      <c r="O10" s="10"/>
    </row>
    <row r="11" spans="1:15" ht="24" x14ac:dyDescent="0.25">
      <c r="A11" s="7" t="s">
        <v>558</v>
      </c>
      <c r="B11" s="8" t="s">
        <v>142</v>
      </c>
      <c r="C11" s="9" t="s">
        <v>8</v>
      </c>
      <c r="D11" s="8" t="s">
        <v>143</v>
      </c>
      <c r="E11" s="10" t="s">
        <v>559</v>
      </c>
      <c r="F11" s="10" t="s">
        <v>560</v>
      </c>
      <c r="G11" s="10" t="s">
        <v>561</v>
      </c>
      <c r="H11" s="10" t="s">
        <v>562</v>
      </c>
      <c r="I11" s="11" t="s">
        <v>10</v>
      </c>
      <c r="J11" s="8"/>
      <c r="K11" s="12"/>
      <c r="L11" s="8" t="s">
        <v>47</v>
      </c>
      <c r="M11" s="8" t="s">
        <v>48</v>
      </c>
      <c r="N11" s="12"/>
      <c r="O11" s="10"/>
    </row>
    <row r="12" spans="1:15" ht="24" x14ac:dyDescent="0.25">
      <c r="A12" s="7" t="s">
        <v>563</v>
      </c>
      <c r="B12" s="8" t="s">
        <v>142</v>
      </c>
      <c r="C12" s="9" t="s">
        <v>8</v>
      </c>
      <c r="D12" s="8" t="s">
        <v>143</v>
      </c>
      <c r="E12" s="10" t="s">
        <v>564</v>
      </c>
      <c r="F12" s="10" t="s">
        <v>565</v>
      </c>
      <c r="G12" s="10" t="s">
        <v>566</v>
      </c>
      <c r="H12" s="10" t="s">
        <v>567</v>
      </c>
      <c r="I12" s="11" t="s">
        <v>10</v>
      </c>
      <c r="J12" s="8"/>
      <c r="K12" s="12"/>
      <c r="L12" s="8" t="s">
        <v>47</v>
      </c>
      <c r="M12" s="8" t="s">
        <v>48</v>
      </c>
      <c r="N12" s="12"/>
      <c r="O12" s="10"/>
    </row>
    <row r="13" spans="1:15" ht="24" x14ac:dyDescent="0.25">
      <c r="A13" s="7" t="s">
        <v>568</v>
      </c>
      <c r="B13" s="8" t="s">
        <v>72</v>
      </c>
      <c r="C13" s="13" t="s">
        <v>7</v>
      </c>
      <c r="D13" s="8"/>
      <c r="E13" s="10" t="s">
        <v>569</v>
      </c>
      <c r="F13" s="10" t="s">
        <v>570</v>
      </c>
      <c r="G13" s="10" t="s">
        <v>571</v>
      </c>
      <c r="H13" s="10" t="s">
        <v>572</v>
      </c>
      <c r="I13" s="11" t="s">
        <v>10</v>
      </c>
      <c r="J13" s="8"/>
      <c r="K13" s="12"/>
      <c r="L13" s="8" t="s">
        <v>47</v>
      </c>
      <c r="M13" s="8" t="s">
        <v>48</v>
      </c>
      <c r="N13" s="12"/>
      <c r="O13" s="10"/>
    </row>
    <row r="14" spans="1:15" ht="24" x14ac:dyDescent="0.25">
      <c r="A14" s="7" t="s">
        <v>573</v>
      </c>
      <c r="B14" s="8" t="s">
        <v>72</v>
      </c>
      <c r="C14" s="13" t="s">
        <v>7</v>
      </c>
      <c r="D14" s="8" t="s">
        <v>143</v>
      </c>
      <c r="E14" s="10" t="s">
        <v>574</v>
      </c>
      <c r="F14" s="10" t="s">
        <v>575</v>
      </c>
      <c r="G14" s="10" t="s">
        <v>174</v>
      </c>
      <c r="H14" s="10" t="s">
        <v>576</v>
      </c>
      <c r="I14" s="11" t="s">
        <v>10</v>
      </c>
      <c r="J14" s="8"/>
      <c r="K14" s="12"/>
      <c r="L14" s="8" t="s">
        <v>47</v>
      </c>
      <c r="M14" s="8" t="s">
        <v>48</v>
      </c>
      <c r="N14" s="12"/>
      <c r="O14" s="10"/>
    </row>
    <row r="15" spans="1:15" ht="24" x14ac:dyDescent="0.25">
      <c r="A15" s="7" t="s">
        <v>577</v>
      </c>
      <c r="B15" s="8" t="s">
        <v>72</v>
      </c>
      <c r="C15" s="13" t="s">
        <v>7</v>
      </c>
      <c r="D15" s="8"/>
      <c r="E15" s="10" t="s">
        <v>578</v>
      </c>
      <c r="F15" s="10" t="s">
        <v>579</v>
      </c>
      <c r="G15" s="10" t="s">
        <v>580</v>
      </c>
      <c r="H15" s="10" t="s">
        <v>581</v>
      </c>
      <c r="I15" s="11" t="s">
        <v>10</v>
      </c>
      <c r="J15" s="8"/>
      <c r="K15" s="12"/>
      <c r="L15" s="8" t="s">
        <v>47</v>
      </c>
      <c r="M15" s="8" t="s">
        <v>48</v>
      </c>
      <c r="N15" s="12"/>
      <c r="O15" s="10"/>
    </row>
    <row r="16" spans="1:15" ht="24" x14ac:dyDescent="0.25">
      <c r="A16" s="7" t="s">
        <v>582</v>
      </c>
      <c r="B16" s="8" t="s">
        <v>72</v>
      </c>
      <c r="C16" s="13" t="s">
        <v>7</v>
      </c>
      <c r="D16" s="8"/>
      <c r="E16" s="10" t="s">
        <v>583</v>
      </c>
      <c r="F16" s="10" t="s">
        <v>584</v>
      </c>
      <c r="G16" s="10" t="s">
        <v>585</v>
      </c>
      <c r="H16" s="10" t="s">
        <v>586</v>
      </c>
      <c r="I16" s="11" t="s">
        <v>10</v>
      </c>
      <c r="J16" s="8"/>
      <c r="K16" s="12"/>
      <c r="L16" s="8" t="s">
        <v>47</v>
      </c>
      <c r="M16" s="8" t="s">
        <v>48</v>
      </c>
      <c r="N16" s="12"/>
      <c r="O16" s="10"/>
    </row>
    <row r="17" spans="1:15" x14ac:dyDescent="0.25">
      <c r="A17" s="7" t="s">
        <v>587</v>
      </c>
      <c r="B17" s="8" t="s">
        <v>41</v>
      </c>
      <c r="C17" s="9" t="s">
        <v>8</v>
      </c>
      <c r="D17" s="8" t="s">
        <v>42</v>
      </c>
      <c r="E17" s="10" t="s">
        <v>588</v>
      </c>
      <c r="F17" s="10" t="s">
        <v>589</v>
      </c>
      <c r="G17" s="10" t="s">
        <v>590</v>
      </c>
      <c r="H17" s="10" t="s">
        <v>591</v>
      </c>
      <c r="I17" s="11" t="s">
        <v>10</v>
      </c>
      <c r="J17" s="8"/>
      <c r="K17" s="12"/>
      <c r="L17" s="8" t="s">
        <v>47</v>
      </c>
      <c r="M17" s="8" t="s">
        <v>48</v>
      </c>
      <c r="N17" s="12"/>
      <c r="O17" s="10"/>
    </row>
    <row r="18" spans="1:15" ht="24" x14ac:dyDescent="0.25">
      <c r="A18" s="7" t="s">
        <v>592</v>
      </c>
      <c r="B18" s="8" t="s">
        <v>142</v>
      </c>
      <c r="C18" s="13" t="s">
        <v>7</v>
      </c>
      <c r="D18" s="8"/>
      <c r="E18" s="10" t="s">
        <v>593</v>
      </c>
      <c r="F18" s="10" t="s">
        <v>594</v>
      </c>
      <c r="G18" s="10" t="s">
        <v>595</v>
      </c>
      <c r="H18" s="10" t="s">
        <v>596</v>
      </c>
      <c r="I18" s="11" t="s">
        <v>10</v>
      </c>
      <c r="J18" s="8"/>
      <c r="K18" s="12"/>
      <c r="L18" s="8" t="s">
        <v>47</v>
      </c>
      <c r="M18" s="8" t="s">
        <v>48</v>
      </c>
      <c r="N18" s="12"/>
      <c r="O18" s="10"/>
    </row>
    <row r="19" spans="1:15" ht="24" x14ac:dyDescent="0.25">
      <c r="A19" s="7" t="s">
        <v>597</v>
      </c>
      <c r="B19" s="8" t="s">
        <v>110</v>
      </c>
      <c r="C19" s="13" t="s">
        <v>7</v>
      </c>
      <c r="D19" s="8" t="s">
        <v>111</v>
      </c>
      <c r="E19" s="10" t="s">
        <v>598</v>
      </c>
      <c r="F19" s="10" t="s">
        <v>599</v>
      </c>
      <c r="G19" s="10" t="s">
        <v>174</v>
      </c>
      <c r="H19" s="10" t="s">
        <v>600</v>
      </c>
      <c r="I19" s="11" t="s">
        <v>10</v>
      </c>
      <c r="J19" s="8"/>
      <c r="K19" s="12"/>
      <c r="L19" s="8" t="s">
        <v>47</v>
      </c>
      <c r="M19" s="8" t="s">
        <v>48</v>
      </c>
      <c r="N19" s="12"/>
      <c r="O19" s="10"/>
    </row>
  </sheetData>
  <autoFilter ref="A4:O19" xr:uid="{00000000-0009-0000-0000-00000C000000}"/>
  <mergeCells count="2">
    <mergeCell ref="A1:O1"/>
    <mergeCell ref="A2:O2"/>
  </mergeCells>
  <conditionalFormatting sqref="M5:M219">
    <cfRule type="cellIs" dxfId="8" priority="1" operator="equal">
      <formula>"Fail"</formula>
    </cfRule>
    <cfRule type="cellIs" dxfId="7" priority="2" operator="equal">
      <formula>"Pass"</formula>
    </cfRule>
    <cfRule type="cellIs" dxfId="6" priority="3" operator="equal">
      <formula>"Blocked"</formula>
    </cfRule>
  </conditionalFormatting>
  <dataValidations count="2">
    <dataValidation type="list" allowBlank="1" sqref="M5:M219" xr:uid="{00000000-0002-0000-0C00-000000000000}">
      <formula1>"Not run,Pass,Fail,Blocked,N/A,Deprecated"</formula1>
    </dataValidation>
    <dataValidation type="list" allowBlank="1" sqref="J5:J219" xr:uid="{00000000-0002-0000-0C00-000001000000}">
      <formula1>"Manual,Automated,To automate"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2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601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ht="24" x14ac:dyDescent="0.25">
      <c r="A5" s="7" t="s">
        <v>602</v>
      </c>
      <c r="B5" s="8" t="s">
        <v>281</v>
      </c>
      <c r="C5" s="14" t="s">
        <v>6</v>
      </c>
      <c r="D5" s="8" t="s">
        <v>603</v>
      </c>
      <c r="E5" s="10" t="s">
        <v>604</v>
      </c>
      <c r="F5" s="10" t="s">
        <v>605</v>
      </c>
      <c r="G5" s="10" t="s">
        <v>464</v>
      </c>
      <c r="H5" s="10" t="s">
        <v>606</v>
      </c>
      <c r="I5" s="11" t="s">
        <v>10</v>
      </c>
      <c r="J5" s="8"/>
      <c r="K5" s="12"/>
      <c r="L5" s="8" t="s">
        <v>47</v>
      </c>
      <c r="M5" s="8" t="s">
        <v>48</v>
      </c>
      <c r="N5" s="12"/>
      <c r="O5" s="10"/>
    </row>
    <row r="6" spans="1:15" x14ac:dyDescent="0.25">
      <c r="A6" s="7" t="s">
        <v>607</v>
      </c>
      <c r="B6" s="8" t="s">
        <v>281</v>
      </c>
      <c r="C6" s="13" t="s">
        <v>7</v>
      </c>
      <c r="D6" s="8" t="s">
        <v>603</v>
      </c>
      <c r="E6" s="10" t="s">
        <v>608</v>
      </c>
      <c r="F6" s="10" t="s">
        <v>609</v>
      </c>
      <c r="G6" s="10" t="s">
        <v>610</v>
      </c>
      <c r="H6" s="10" t="s">
        <v>611</v>
      </c>
      <c r="I6" s="11" t="s">
        <v>10</v>
      </c>
      <c r="J6" s="8"/>
      <c r="K6" s="12"/>
      <c r="L6" s="8" t="s">
        <v>47</v>
      </c>
      <c r="M6" s="8" t="s">
        <v>48</v>
      </c>
      <c r="N6" s="12"/>
      <c r="O6" s="10"/>
    </row>
    <row r="7" spans="1:15" x14ac:dyDescent="0.25">
      <c r="A7" s="7" t="s">
        <v>612</v>
      </c>
      <c r="B7" s="8" t="s">
        <v>281</v>
      </c>
      <c r="C7" s="13" t="s">
        <v>7</v>
      </c>
      <c r="D7" s="8" t="s">
        <v>603</v>
      </c>
      <c r="E7" s="10" t="s">
        <v>613</v>
      </c>
      <c r="F7" s="10" t="s">
        <v>614</v>
      </c>
      <c r="G7" s="10" t="s">
        <v>610</v>
      </c>
      <c r="H7" s="10" t="s">
        <v>615</v>
      </c>
      <c r="I7" s="11" t="s">
        <v>10</v>
      </c>
      <c r="J7" s="8"/>
      <c r="K7" s="12"/>
      <c r="L7" s="8" t="s">
        <v>47</v>
      </c>
      <c r="M7" s="8" t="s">
        <v>48</v>
      </c>
      <c r="N7" s="12"/>
      <c r="O7" s="10"/>
    </row>
    <row r="8" spans="1:15" ht="24" x14ac:dyDescent="0.25">
      <c r="A8" s="7" t="s">
        <v>616</v>
      </c>
      <c r="B8" s="8" t="s">
        <v>281</v>
      </c>
      <c r="C8" s="9" t="s">
        <v>8</v>
      </c>
      <c r="D8" s="8" t="s">
        <v>603</v>
      </c>
      <c r="E8" s="10" t="s">
        <v>617</v>
      </c>
      <c r="F8" s="10" t="s">
        <v>618</v>
      </c>
      <c r="G8" s="10" t="s">
        <v>464</v>
      </c>
      <c r="H8" s="10" t="s">
        <v>619</v>
      </c>
      <c r="I8" s="11" t="s">
        <v>10</v>
      </c>
      <c r="J8" s="8"/>
      <c r="K8" s="12"/>
      <c r="L8" s="8" t="s">
        <v>47</v>
      </c>
      <c r="M8" s="8" t="s">
        <v>48</v>
      </c>
      <c r="N8" s="12"/>
      <c r="O8" s="10"/>
    </row>
    <row r="9" spans="1:15" ht="24" x14ac:dyDescent="0.25">
      <c r="A9" s="7" t="s">
        <v>620</v>
      </c>
      <c r="B9" s="8" t="s">
        <v>281</v>
      </c>
      <c r="C9" s="13" t="s">
        <v>7</v>
      </c>
      <c r="D9" s="8" t="s">
        <v>603</v>
      </c>
      <c r="E9" s="10" t="s">
        <v>621</v>
      </c>
      <c r="F9" s="10" t="s">
        <v>622</v>
      </c>
      <c r="G9" s="10" t="s">
        <v>623</v>
      </c>
      <c r="H9" s="10" t="s">
        <v>624</v>
      </c>
      <c r="I9" s="11" t="s">
        <v>10</v>
      </c>
      <c r="J9" s="8"/>
      <c r="K9" s="12"/>
      <c r="L9" s="8" t="s">
        <v>47</v>
      </c>
      <c r="M9" s="8" t="s">
        <v>48</v>
      </c>
      <c r="N9" s="12"/>
      <c r="O9" s="10"/>
    </row>
    <row r="10" spans="1:15" ht="24" x14ac:dyDescent="0.25">
      <c r="A10" s="7" t="s">
        <v>625</v>
      </c>
      <c r="B10" s="8" t="s">
        <v>281</v>
      </c>
      <c r="C10" s="13" t="s">
        <v>7</v>
      </c>
      <c r="D10" s="8" t="s">
        <v>603</v>
      </c>
      <c r="E10" s="10" t="s">
        <v>626</v>
      </c>
      <c r="F10" s="10" t="s">
        <v>627</v>
      </c>
      <c r="G10" s="10" t="s">
        <v>519</v>
      </c>
      <c r="H10" s="10" t="s">
        <v>628</v>
      </c>
      <c r="I10" s="11" t="s">
        <v>10</v>
      </c>
      <c r="J10" s="8"/>
      <c r="K10" s="12"/>
      <c r="L10" s="8" t="s">
        <v>47</v>
      </c>
      <c r="M10" s="8" t="s">
        <v>48</v>
      </c>
      <c r="N10" s="12"/>
      <c r="O10" s="10"/>
    </row>
    <row r="11" spans="1:15" x14ac:dyDescent="0.25">
      <c r="A11" s="7" t="s">
        <v>629</v>
      </c>
      <c r="B11" s="8" t="s">
        <v>281</v>
      </c>
      <c r="C11" s="13" t="s">
        <v>7</v>
      </c>
      <c r="D11" s="8" t="s">
        <v>603</v>
      </c>
      <c r="E11" s="10" t="s">
        <v>630</v>
      </c>
      <c r="F11" s="10" t="s">
        <v>631</v>
      </c>
      <c r="G11" s="10" t="s">
        <v>632</v>
      </c>
      <c r="H11" s="10" t="s">
        <v>633</v>
      </c>
      <c r="I11" s="11" t="s">
        <v>10</v>
      </c>
      <c r="J11" s="8"/>
      <c r="K11" s="12"/>
      <c r="L11" s="8" t="s">
        <v>47</v>
      </c>
      <c r="M11" s="8" t="s">
        <v>48</v>
      </c>
      <c r="N11" s="12"/>
      <c r="O11" s="10"/>
    </row>
    <row r="12" spans="1:15" x14ac:dyDescent="0.25">
      <c r="A12" s="7" t="s">
        <v>634</v>
      </c>
      <c r="B12" s="8" t="s">
        <v>41</v>
      </c>
      <c r="C12" s="9" t="s">
        <v>8</v>
      </c>
      <c r="D12" s="8" t="s">
        <v>42</v>
      </c>
      <c r="E12" s="10" t="s">
        <v>635</v>
      </c>
      <c r="F12" s="10" t="s">
        <v>636</v>
      </c>
      <c r="G12" s="10" t="s">
        <v>637</v>
      </c>
      <c r="H12" s="10" t="s">
        <v>638</v>
      </c>
      <c r="I12" s="11" t="s">
        <v>10</v>
      </c>
      <c r="J12" s="8"/>
      <c r="K12" s="12"/>
      <c r="L12" s="8" t="s">
        <v>47</v>
      </c>
      <c r="M12" s="8" t="s">
        <v>48</v>
      </c>
      <c r="N12" s="12"/>
      <c r="O12" s="10"/>
    </row>
  </sheetData>
  <autoFilter ref="A4:O12" xr:uid="{00000000-0009-0000-0000-00000D000000}"/>
  <mergeCells count="2">
    <mergeCell ref="A1:O1"/>
    <mergeCell ref="A2:O2"/>
  </mergeCells>
  <conditionalFormatting sqref="M5:M212">
    <cfRule type="cellIs" dxfId="5" priority="1" operator="equal">
      <formula>"Fail"</formula>
    </cfRule>
    <cfRule type="cellIs" dxfId="4" priority="2" operator="equal">
      <formula>"Pass"</formula>
    </cfRule>
    <cfRule type="cellIs" dxfId="3" priority="3" operator="equal">
      <formula>"Blocked"</formula>
    </cfRule>
  </conditionalFormatting>
  <dataValidations count="2">
    <dataValidation type="list" allowBlank="1" sqref="M5:M212" xr:uid="{00000000-0002-0000-0D00-000000000000}">
      <formula1>"Not run,Pass,Fail,Blocked,N/A,Deprecated"</formula1>
    </dataValidation>
    <dataValidation type="list" allowBlank="1" sqref="J5:J212" xr:uid="{00000000-0002-0000-0D00-000001000000}">
      <formula1>"Manual,Automated,To automate"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4"/>
  <sheetViews>
    <sheetView workbookViewId="0">
      <pane xSplit="4" ySplit="4" topLeftCell="E5" activePane="bottomRight" state="frozen"/>
      <selection pane="topRight"/>
      <selection pane="bottomLeft"/>
      <selection pane="bottomRight" sqref="A1:O1"/>
    </sheetView>
  </sheetViews>
  <sheetFormatPr defaultRowHeight="15" x14ac:dyDescent="0.25"/>
  <cols>
    <col min="1" max="1" width="20" customWidth="1"/>
    <col min="2" max="2" width="8" customWidth="1"/>
    <col min="3" max="3" width="11" customWidth="1"/>
    <col min="4" max="4" width="7" customWidth="1"/>
    <col min="5" max="5" width="44" customWidth="1"/>
    <col min="6" max="6" width="30" customWidth="1"/>
    <col min="7" max="7" width="32" customWidth="1"/>
    <col min="8" max="8" width="52" customWidth="1"/>
    <col min="9" max="9" width="8" customWidth="1"/>
    <col min="10" max="10" width="13" customWidth="1"/>
    <col min="11" max="11" width="14" customWidth="1"/>
    <col min="12" max="12" width="15" customWidth="1"/>
    <col min="13" max="13" width="12" customWidth="1"/>
    <col min="14" max="14" width="22" customWidth="1"/>
    <col min="15" max="15" width="30" customWidth="1"/>
  </cols>
  <sheetData>
    <row r="1" spans="1:15" ht="21.95" customHeight="1" x14ac:dyDescent="0.35">
      <c r="A1" s="19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5">
      <c r="A2" s="17" t="s">
        <v>639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5">
      <c r="A4" s="2" t="s">
        <v>27</v>
      </c>
      <c r="B4" s="2" t="s">
        <v>28</v>
      </c>
      <c r="C4" s="2" t="s">
        <v>2</v>
      </c>
      <c r="D4" s="2" t="s">
        <v>4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</row>
    <row r="5" spans="1:15" ht="24" x14ac:dyDescent="0.25">
      <c r="A5" s="7" t="s">
        <v>640</v>
      </c>
      <c r="B5" s="8" t="s">
        <v>41</v>
      </c>
      <c r="C5" s="14" t="s">
        <v>6</v>
      </c>
      <c r="D5" s="8" t="s">
        <v>42</v>
      </c>
      <c r="E5" s="10" t="s">
        <v>641</v>
      </c>
      <c r="F5" s="10" t="s">
        <v>642</v>
      </c>
      <c r="G5" s="10" t="s">
        <v>643</v>
      </c>
      <c r="H5" s="10" t="s">
        <v>644</v>
      </c>
      <c r="I5" s="11" t="s">
        <v>10</v>
      </c>
      <c r="J5" s="8"/>
      <c r="K5" s="12"/>
      <c r="L5" s="8" t="s">
        <v>47</v>
      </c>
      <c r="M5" s="8" t="s">
        <v>48</v>
      </c>
      <c r="N5" s="12"/>
      <c r="O5" s="10"/>
    </row>
    <row r="6" spans="1:15" x14ac:dyDescent="0.25">
      <c r="A6" s="7" t="s">
        <v>645</v>
      </c>
      <c r="B6" s="8" t="s">
        <v>72</v>
      </c>
      <c r="C6" s="13" t="s">
        <v>7</v>
      </c>
      <c r="D6" s="8"/>
      <c r="E6" s="10" t="s">
        <v>646</v>
      </c>
      <c r="F6" s="10" t="s">
        <v>647</v>
      </c>
      <c r="G6" s="10" t="s">
        <v>648</v>
      </c>
      <c r="H6" s="10" t="s">
        <v>424</v>
      </c>
      <c r="I6" s="11" t="s">
        <v>10</v>
      </c>
      <c r="J6" s="8"/>
      <c r="K6" s="12"/>
      <c r="L6" s="8" t="s">
        <v>47</v>
      </c>
      <c r="M6" s="8" t="s">
        <v>48</v>
      </c>
      <c r="N6" s="12"/>
      <c r="O6" s="10"/>
    </row>
    <row r="7" spans="1:15" x14ac:dyDescent="0.25">
      <c r="A7" s="7" t="s">
        <v>649</v>
      </c>
      <c r="B7" s="8" t="s">
        <v>41</v>
      </c>
      <c r="C7" s="9" t="s">
        <v>8</v>
      </c>
      <c r="D7" s="8" t="s">
        <v>42</v>
      </c>
      <c r="E7" s="10" t="s">
        <v>650</v>
      </c>
      <c r="F7" s="10" t="s">
        <v>651</v>
      </c>
      <c r="G7" s="10" t="s">
        <v>652</v>
      </c>
      <c r="H7" s="10" t="s">
        <v>171</v>
      </c>
      <c r="I7" s="11" t="s">
        <v>10</v>
      </c>
      <c r="J7" s="8"/>
      <c r="K7" s="12"/>
      <c r="L7" s="8" t="s">
        <v>47</v>
      </c>
      <c r="M7" s="8" t="s">
        <v>48</v>
      </c>
      <c r="N7" s="12"/>
      <c r="O7" s="10"/>
    </row>
    <row r="8" spans="1:15" ht="24" x14ac:dyDescent="0.25">
      <c r="A8" s="7" t="s">
        <v>653</v>
      </c>
      <c r="B8" s="8" t="s">
        <v>72</v>
      </c>
      <c r="C8" s="13" t="s">
        <v>7</v>
      </c>
      <c r="D8" s="8" t="s">
        <v>42</v>
      </c>
      <c r="E8" s="10" t="s">
        <v>654</v>
      </c>
      <c r="F8" s="10" t="s">
        <v>655</v>
      </c>
      <c r="G8" s="10" t="s">
        <v>656</v>
      </c>
      <c r="H8" s="10" t="s">
        <v>171</v>
      </c>
      <c r="I8" s="11" t="s">
        <v>10</v>
      </c>
      <c r="J8" s="8"/>
      <c r="K8" s="12"/>
      <c r="L8" s="8" t="s">
        <v>47</v>
      </c>
      <c r="M8" s="8" t="s">
        <v>48</v>
      </c>
      <c r="N8" s="12"/>
      <c r="O8" s="10"/>
    </row>
    <row r="9" spans="1:15" ht="24" x14ac:dyDescent="0.25">
      <c r="A9" s="7" t="s">
        <v>657</v>
      </c>
      <c r="B9" s="8" t="s">
        <v>60</v>
      </c>
      <c r="C9" s="14" t="s">
        <v>6</v>
      </c>
      <c r="D9" s="8" t="s">
        <v>42</v>
      </c>
      <c r="E9" s="10" t="s">
        <v>658</v>
      </c>
      <c r="F9" s="10" t="s">
        <v>659</v>
      </c>
      <c r="G9" s="10" t="s">
        <v>295</v>
      </c>
      <c r="H9" s="10" t="s">
        <v>660</v>
      </c>
      <c r="I9" s="11" t="s">
        <v>10</v>
      </c>
      <c r="J9" s="8"/>
      <c r="K9" s="12"/>
      <c r="L9" s="8" t="s">
        <v>47</v>
      </c>
      <c r="M9" s="8" t="s">
        <v>48</v>
      </c>
      <c r="N9" s="12"/>
      <c r="O9" s="10"/>
    </row>
    <row r="10" spans="1:15" x14ac:dyDescent="0.25">
      <c r="A10" s="7" t="s">
        <v>661</v>
      </c>
      <c r="B10" s="8" t="s">
        <v>72</v>
      </c>
      <c r="C10" s="13" t="s">
        <v>7</v>
      </c>
      <c r="D10" s="8"/>
      <c r="E10" s="10" t="s">
        <v>662</v>
      </c>
      <c r="F10" s="10" t="s">
        <v>663</v>
      </c>
      <c r="G10" s="10" t="s">
        <v>664</v>
      </c>
      <c r="H10" s="10" t="s">
        <v>665</v>
      </c>
      <c r="I10" s="11" t="s">
        <v>10</v>
      </c>
      <c r="J10" s="8"/>
      <c r="K10" s="12"/>
      <c r="L10" s="8" t="s">
        <v>47</v>
      </c>
      <c r="M10" s="8" t="s">
        <v>48</v>
      </c>
      <c r="N10" s="12"/>
      <c r="O10" s="10"/>
    </row>
    <row r="11" spans="1:15" ht="24" x14ac:dyDescent="0.25">
      <c r="A11" s="7" t="s">
        <v>666</v>
      </c>
      <c r="B11" s="8" t="s">
        <v>72</v>
      </c>
      <c r="C11" s="13" t="s">
        <v>7</v>
      </c>
      <c r="D11" s="8"/>
      <c r="E11" s="10" t="s">
        <v>667</v>
      </c>
      <c r="F11" s="10" t="s">
        <v>668</v>
      </c>
      <c r="G11" s="10" t="s">
        <v>669</v>
      </c>
      <c r="H11" s="10" t="s">
        <v>670</v>
      </c>
      <c r="I11" s="11" t="s">
        <v>10</v>
      </c>
      <c r="J11" s="8"/>
      <c r="K11" s="12"/>
      <c r="L11" s="8" t="s">
        <v>47</v>
      </c>
      <c r="M11" s="8" t="s">
        <v>48</v>
      </c>
      <c r="N11" s="12"/>
      <c r="O11" s="10"/>
    </row>
    <row r="12" spans="1:15" ht="24" x14ac:dyDescent="0.25">
      <c r="A12" s="7" t="s">
        <v>671</v>
      </c>
      <c r="B12" s="8" t="s">
        <v>41</v>
      </c>
      <c r="C12" s="9" t="s">
        <v>8</v>
      </c>
      <c r="D12" s="8" t="s">
        <v>42</v>
      </c>
      <c r="E12" s="10" t="s">
        <v>672</v>
      </c>
      <c r="F12" s="10" t="s">
        <v>673</v>
      </c>
      <c r="G12" s="10" t="s">
        <v>674</v>
      </c>
      <c r="H12" s="10" t="s">
        <v>675</v>
      </c>
      <c r="I12" s="11" t="s">
        <v>10</v>
      </c>
      <c r="J12" s="8"/>
      <c r="K12" s="12"/>
      <c r="L12" s="8" t="s">
        <v>47</v>
      </c>
      <c r="M12" s="8" t="s">
        <v>48</v>
      </c>
      <c r="N12" s="12"/>
      <c r="O12" s="10"/>
    </row>
    <row r="13" spans="1:15" x14ac:dyDescent="0.25">
      <c r="A13" s="7" t="s">
        <v>676</v>
      </c>
      <c r="B13" s="8" t="s">
        <v>677</v>
      </c>
      <c r="C13" s="13" t="s">
        <v>7</v>
      </c>
      <c r="D13" s="8" t="s">
        <v>678</v>
      </c>
      <c r="E13" s="10" t="s">
        <v>679</v>
      </c>
      <c r="F13" s="10" t="s">
        <v>680</v>
      </c>
      <c r="G13" s="10" t="s">
        <v>681</v>
      </c>
      <c r="H13" s="10" t="s">
        <v>682</v>
      </c>
      <c r="I13" s="11" t="s">
        <v>10</v>
      </c>
      <c r="J13" s="8"/>
      <c r="K13" s="12"/>
      <c r="L13" s="8" t="s">
        <v>47</v>
      </c>
      <c r="M13" s="8" t="s">
        <v>48</v>
      </c>
      <c r="N13" s="12"/>
      <c r="O13" s="10"/>
    </row>
    <row r="14" spans="1:15" x14ac:dyDescent="0.25">
      <c r="A14" s="7" t="s">
        <v>683</v>
      </c>
      <c r="B14" s="8" t="s">
        <v>677</v>
      </c>
      <c r="C14" s="13" t="s">
        <v>7</v>
      </c>
      <c r="D14" s="8" t="s">
        <v>678</v>
      </c>
      <c r="E14" s="10" t="s">
        <v>684</v>
      </c>
      <c r="F14" s="10" t="s">
        <v>685</v>
      </c>
      <c r="G14" s="10" t="s">
        <v>686</v>
      </c>
      <c r="H14" s="10" t="s">
        <v>687</v>
      </c>
      <c r="I14" s="11" t="s">
        <v>10</v>
      </c>
      <c r="J14" s="8"/>
      <c r="K14" s="12"/>
      <c r="L14" s="8" t="s">
        <v>47</v>
      </c>
      <c r="M14" s="8" t="s">
        <v>48</v>
      </c>
      <c r="N14" s="12"/>
      <c r="O14" s="10"/>
    </row>
  </sheetData>
  <autoFilter ref="A4:O14" xr:uid="{00000000-0009-0000-0000-00000E000000}"/>
  <mergeCells count="2">
    <mergeCell ref="A1:O1"/>
    <mergeCell ref="A2:O2"/>
  </mergeCells>
  <conditionalFormatting sqref="M5:M214">
    <cfRule type="cellIs" dxfId="2" priority="1" operator="equal">
      <formula>"Fail"</formula>
    </cfRule>
    <cfRule type="cellIs" dxfId="1" priority="2" operator="equal">
      <formula>"Pass"</formula>
    </cfRule>
    <cfRule type="cellIs" dxfId="0" priority="3" operator="equal">
      <formula>"Blocked"</formula>
    </cfRule>
  </conditionalFormatting>
  <dataValidations count="2">
    <dataValidation type="list" allowBlank="1" sqref="M5:M214" xr:uid="{00000000-0002-0000-0E00-000000000000}">
      <formula1>"Not run,Pass,Fail,Blocked,N/A,Deprecated"</formula1>
    </dataValidation>
    <dataValidation type="list" allowBlank="1" sqref="J5:J214" xr:uid="{00000000-0002-0000-0E00-000001000000}">
      <formula1>"Manual,Automated,To automate"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6"/>
  <sheetViews>
    <sheetView workbookViewId="0">
      <selection sqref="A1:C1"/>
    </sheetView>
  </sheetViews>
  <sheetFormatPr defaultRowHeight="15" x14ac:dyDescent="0.25"/>
  <cols>
    <col min="1" max="1" width="8" customWidth="1"/>
    <col min="2" max="2" width="40" customWidth="1"/>
    <col min="3" max="3" width="18" customWidth="1"/>
  </cols>
  <sheetData>
    <row r="1" spans="1:3" ht="21.95" customHeight="1" x14ac:dyDescent="0.35">
      <c r="A1" s="19" t="s">
        <v>688</v>
      </c>
      <c r="B1" s="18"/>
      <c r="C1" s="18"/>
    </row>
    <row r="2" spans="1:3" x14ac:dyDescent="0.25">
      <c r="A2" s="17" t="s">
        <v>689</v>
      </c>
      <c r="B2" s="18"/>
      <c r="C2" s="18"/>
    </row>
    <row r="4" spans="1:3" ht="30" customHeight="1" x14ac:dyDescent="0.25">
      <c r="A4" s="2" t="s">
        <v>690</v>
      </c>
      <c r="B4" s="2" t="s">
        <v>4</v>
      </c>
      <c r="C4" s="2" t="s">
        <v>691</v>
      </c>
    </row>
    <row r="5" spans="1:3" x14ac:dyDescent="0.25">
      <c r="A5" s="16" t="s">
        <v>42</v>
      </c>
      <c r="B5" s="3" t="s">
        <v>692</v>
      </c>
      <c r="C5" s="5">
        <v>18</v>
      </c>
    </row>
    <row r="6" spans="1:3" x14ac:dyDescent="0.25">
      <c r="A6" s="16" t="s">
        <v>189</v>
      </c>
      <c r="B6" s="3" t="s">
        <v>693</v>
      </c>
      <c r="C6" s="5">
        <v>5</v>
      </c>
    </row>
    <row r="7" spans="1:3" x14ac:dyDescent="0.25">
      <c r="A7" s="16" t="s">
        <v>245</v>
      </c>
      <c r="B7" s="3" t="s">
        <v>694</v>
      </c>
      <c r="C7" s="5">
        <v>11</v>
      </c>
    </row>
    <row r="8" spans="1:3" x14ac:dyDescent="0.25">
      <c r="A8" s="16" t="s">
        <v>351</v>
      </c>
      <c r="B8" s="3" t="s">
        <v>695</v>
      </c>
      <c r="C8" s="5">
        <v>16</v>
      </c>
    </row>
    <row r="9" spans="1:3" x14ac:dyDescent="0.25">
      <c r="A9" s="16" t="s">
        <v>143</v>
      </c>
      <c r="B9" s="3" t="s">
        <v>696</v>
      </c>
      <c r="C9" s="5">
        <v>9</v>
      </c>
    </row>
    <row r="10" spans="1:3" x14ac:dyDescent="0.25">
      <c r="A10" s="16" t="s">
        <v>177</v>
      </c>
      <c r="B10" s="3" t="s">
        <v>697</v>
      </c>
      <c r="C10" s="5">
        <v>8</v>
      </c>
    </row>
    <row r="11" spans="1:3" x14ac:dyDescent="0.25">
      <c r="A11" s="16" t="s">
        <v>603</v>
      </c>
      <c r="B11" s="3" t="s">
        <v>698</v>
      </c>
      <c r="C11" s="5">
        <v>7</v>
      </c>
    </row>
    <row r="12" spans="1:3" x14ac:dyDescent="0.25">
      <c r="A12" s="16" t="s">
        <v>282</v>
      </c>
      <c r="B12" s="3" t="s">
        <v>699</v>
      </c>
      <c r="C12" s="5">
        <v>1</v>
      </c>
    </row>
    <row r="13" spans="1:3" x14ac:dyDescent="0.25">
      <c r="A13" s="16" t="s">
        <v>461</v>
      </c>
      <c r="B13" s="3" t="s">
        <v>700</v>
      </c>
      <c r="C13" s="5">
        <v>3</v>
      </c>
    </row>
    <row r="14" spans="1:3" x14ac:dyDescent="0.25">
      <c r="A14" s="16" t="s">
        <v>111</v>
      </c>
      <c r="B14" s="3" t="s">
        <v>701</v>
      </c>
      <c r="C14" s="5">
        <v>8</v>
      </c>
    </row>
    <row r="15" spans="1:3" x14ac:dyDescent="0.25">
      <c r="A15" s="16" t="s">
        <v>104</v>
      </c>
      <c r="B15" s="3" t="s">
        <v>702</v>
      </c>
      <c r="C15" s="5">
        <v>3</v>
      </c>
    </row>
    <row r="16" spans="1:3" x14ac:dyDescent="0.25">
      <c r="A16" s="16" t="s">
        <v>678</v>
      </c>
      <c r="B16" s="3" t="s">
        <v>703</v>
      </c>
      <c r="C16" s="5">
        <v>2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How to use</vt:lpstr>
      <vt:lpstr>Preckon Core</vt:lpstr>
      <vt:lpstr>TenderLogix</vt:lpstr>
      <vt:lpstr>DrawLogix</vt:lpstr>
      <vt:lpstr>ScheduleLogix</vt:lpstr>
      <vt:lpstr>DocLogix</vt:lpstr>
      <vt:lpstr>Estimate-Cost Control</vt:lpstr>
      <vt:lpstr>RFI-Submittals</vt:lpstr>
      <vt:lpstr>Change Management</vt:lpstr>
      <vt:lpstr>Field-Mobile</vt:lpstr>
      <vt:lpstr>Quality-Safety</vt:lpstr>
      <vt:lpstr>Financials</vt:lpstr>
      <vt:lpstr>AI-Knowledge Layer</vt:lpstr>
      <vt:lpstr>Integration Hub</vt:lpstr>
      <vt:lpstr>Administration</vt:lpstr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IKIO</cp:lastModifiedBy>
  <dcterms:created xsi:type="dcterms:W3CDTF">2026-08-28T18:14:30Z</dcterms:created>
  <dcterms:modified xsi:type="dcterms:W3CDTF">2026-08-28T18:26:38Z</dcterms:modified>
</cp:coreProperties>
</file>